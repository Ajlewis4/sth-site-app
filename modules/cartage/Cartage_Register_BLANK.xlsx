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tage" sheetId="1" state="visible" r:id="rId1"/>
  </sheets>
  <definedNames>
    <definedName name="_xlnm.Print_Titles" localSheetId="0">'Cartage'!$1:$16</definedName>
  </definedNames>
  <calcPr calcId="124519" fullCalcOnLoad="1"/>
</workbook>
</file>

<file path=xl/styles.xml><?xml version="1.0" encoding="utf-8"?>
<styleSheet xmlns="http://schemas.openxmlformats.org/spreadsheetml/2006/main">
  <numFmts count="5">
    <numFmt numFmtId="164" formatCode="$#,##0.00"/>
    <numFmt numFmtId="165" formatCode="DD/MM/YY"/>
    <numFmt numFmtId="166" formatCode="#,##0.0"/>
    <numFmt numFmtId="167" formatCode="#,##0.000"/>
    <numFmt numFmtId="168" formatCode="0.0%"/>
  </numFmts>
  <fonts count="23">
    <font>
      <name val="Calibri"/>
      <family val="2"/>
      <color theme="1"/>
      <sz val="11"/>
      <scheme val="minor"/>
    </font>
    <font>
      <name val="Arial"/>
      <b val="1"/>
      <color rgb="002E3038"/>
      <sz val="14"/>
    </font>
    <font>
      <name val="Arial"/>
      <b val="1"/>
      <color rgb="00FFFFFF"/>
      <sz val="9"/>
    </font>
    <font>
      <name val="Arial"/>
      <color rgb="000000CC"/>
      <sz val="9"/>
    </font>
    <font>
      <name val="Arial"/>
      <b val="1"/>
      <sz val="9"/>
    </font>
    <font>
      <name val="Arial"/>
      <b val="1"/>
      <color rgb="000000CC"/>
      <sz val="9"/>
    </font>
    <font>
      <name val="Arial"/>
      <color rgb="00000000"/>
      <sz val="9"/>
    </font>
    <font>
      <name val="Arial"/>
      <i val="1"/>
      <color rgb="00555555"/>
      <sz val="8"/>
    </font>
    <font>
      <name val="Arial"/>
      <b val="1"/>
      <color rgb="002E3038"/>
      <sz val="11"/>
    </font>
    <font>
      <name val="Arial"/>
      <b val="1"/>
      <color rgb="00FFFFFF"/>
      <sz val="8"/>
    </font>
    <font>
      <name val="Arial"/>
      <sz val="9"/>
    </font>
    <font>
      <name val="Arial"/>
      <color rgb="00BBBBBB"/>
      <sz val="8"/>
    </font>
    <font>
      <name val="Arial"/>
      <i val="1"/>
      <color rgb="00555555"/>
      <sz val="9"/>
    </font>
    <font>
      <name val="Arial"/>
      <b val="1"/>
      <color rgb="002E3038"/>
      <sz val="12"/>
    </font>
    <font>
      <name val="Arial"/>
      <b val="1"/>
      <color rgb="00FFFFFF"/>
      <sz val="10"/>
    </font>
    <font>
      <name val="Arial"/>
      <b val="1"/>
      <color rgb="00555555"/>
      <sz val="9"/>
    </font>
    <font>
      <name val="Arial"/>
      <b val="1"/>
      <color rgb="00000000"/>
      <sz val="9"/>
    </font>
    <font>
      <name val="Arial"/>
      <b val="1"/>
      <sz val="11"/>
    </font>
    <font>
      <name val="Arial"/>
      <color rgb="00FFFFFF"/>
      <sz val="9"/>
    </font>
    <font>
      <name val="Arial"/>
      <i val="1"/>
      <color rgb="00D4568A"/>
      <sz val="8"/>
    </font>
    <font>
      <name val="Arial"/>
      <b val="1"/>
      <color rgb="00FFFFFF"/>
      <sz val="12"/>
    </font>
    <font>
      <name val="Arial"/>
      <b val="1"/>
      <color rgb="002E3038"/>
      <sz val="8"/>
    </font>
    <font>
      <name val="Arial"/>
      <b val="1"/>
      <color rgb="00FFFFFF"/>
      <sz val="11"/>
    </font>
  </fonts>
  <fills count="18">
    <fill>
      <patternFill/>
    </fill>
    <fill>
      <patternFill patternType="gray125"/>
    </fill>
    <fill>
      <patternFill patternType="solid">
        <fgColor rgb="00F5C800"/>
      </patternFill>
    </fill>
    <fill>
      <patternFill patternType="solid">
        <fgColor rgb="002E3038"/>
      </patternFill>
    </fill>
    <fill>
      <patternFill patternType="solid">
        <fgColor rgb="00FFF2CC"/>
      </patternFill>
    </fill>
    <fill>
      <patternFill patternType="solid">
        <fgColor rgb="00F2F2F2"/>
      </patternFill>
    </fill>
    <fill>
      <patternFill patternType="solid">
        <fgColor rgb="00F7F7F5"/>
      </patternFill>
    </fill>
    <fill>
      <patternFill patternType="solid">
        <fgColor rgb="00595959"/>
      </patternFill>
    </fill>
    <fill>
      <patternFill patternType="solid">
        <fgColor rgb="00DCE6F1"/>
      </patternFill>
    </fill>
    <fill>
      <patternFill patternType="solid">
        <fgColor rgb="00EAF4EA"/>
      </patternFill>
    </fill>
    <fill>
      <patternFill patternType="solid">
        <fgColor rgb="00FFFFFF"/>
      </patternFill>
    </fill>
    <fill>
      <patternFill patternType="solid">
        <fgColor rgb="00AEABAB"/>
      </patternFill>
    </fill>
    <fill>
      <patternFill patternType="solid">
        <fgColor rgb="00FFB4D9"/>
      </patternFill>
    </fill>
    <fill>
      <patternFill patternType="solid">
        <fgColor rgb="00FFF0F7"/>
      </patternFill>
    </fill>
    <fill>
      <patternFill patternType="solid">
        <fgColor rgb="00FFF8FB"/>
      </patternFill>
    </fill>
    <fill>
      <patternFill patternType="solid">
        <fgColor rgb="00FFFDE7"/>
      </patternFill>
    </fill>
    <fill>
      <patternFill patternType="solid">
        <fgColor rgb="00FFF5F9"/>
      </patternFill>
    </fill>
    <fill>
      <patternFill patternType="solid">
        <fgColor rgb="00F0FAF5"/>
      </patternFill>
    </fill>
  </fills>
  <borders count="13">
    <border>
      <left/>
      <right/>
      <top/>
      <bottom/>
      <diagonal/>
    </border>
    <border>
      <left style="medium"/>
      <right style="medium"/>
      <top style="medium"/>
      <bottom style="medium"/>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border>
      <left style="thin"/>
      <right style="medium"/>
      <top style="thin"/>
      <bottom style="thin"/>
    </border>
  </borders>
  <cellStyleXfs count="1">
    <xf numFmtId="0" fontId="0" fillId="0" borderId="0"/>
  </cellStyleXfs>
  <cellXfs count="131">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0" fillId="3" borderId="2" pivotButton="0" quotePrefix="0" xfId="0"/>
    <xf numFmtId="0" fontId="3" fillId="4" borderId="2" applyAlignment="1" pivotButton="0" quotePrefix="0" xfId="0">
      <alignment horizontal="left" vertical="center"/>
    </xf>
    <xf numFmtId="0" fontId="4" fillId="5" borderId="2" applyAlignment="1" pivotButton="0" quotePrefix="0" xfId="0">
      <alignment horizontal="left" vertical="center"/>
    </xf>
    <xf numFmtId="0" fontId="3" fillId="4" borderId="2" applyAlignment="1" pivotButton="0" quotePrefix="0" xfId="0">
      <alignment horizontal="center" vertical="center"/>
    </xf>
    <xf numFmtId="0" fontId="0" fillId="5" borderId="2" pivotButton="0" quotePrefix="0" xfId="0"/>
    <xf numFmtId="164" fontId="5" fillId="4" borderId="2" applyAlignment="1" pivotButton="0" quotePrefix="0" xfId="0">
      <alignment horizontal="center" vertical="center"/>
    </xf>
    <xf numFmtId="0" fontId="6" fillId="5" borderId="2" applyAlignment="1" pivotButton="0" quotePrefix="0" xfId="0">
      <alignment horizontal="left" vertical="center"/>
    </xf>
    <xf numFmtId="0" fontId="7" fillId="6" borderId="2" applyAlignment="1" pivotButton="0" quotePrefix="0" xfId="0">
      <alignment horizontal="center" vertical="center"/>
    </xf>
    <xf numFmtId="0" fontId="8" fillId="2" borderId="2" applyAlignment="1" pivotButton="0" quotePrefix="0" xfId="0">
      <alignment horizontal="center" vertical="center"/>
    </xf>
    <xf numFmtId="0" fontId="9" fillId="7" borderId="2" applyAlignment="1" pivotButton="0" quotePrefix="0" xfId="0">
      <alignment horizontal="center" vertical="center" wrapText="1"/>
    </xf>
    <xf numFmtId="165" fontId="10" fillId="8" borderId="2" applyAlignment="1" pivotButton="0" quotePrefix="0" xfId="0">
      <alignment horizontal="center" vertical="center"/>
    </xf>
    <xf numFmtId="0" fontId="10" fillId="5" borderId="2" applyAlignment="1" pivotButton="0" quotePrefix="0" xfId="0">
      <alignment horizontal="left" vertical="center"/>
    </xf>
    <xf numFmtId="0" fontId="4" fillId="5" borderId="2" applyAlignment="1" pivotButton="0" quotePrefix="0" xfId="0">
      <alignment horizontal="center" vertical="center"/>
    </xf>
    <xf numFmtId="0" fontId="10" fillId="4" borderId="2" applyAlignment="1" pivotButton="0" quotePrefix="0" xfId="0">
      <alignment horizontal="center" vertical="center"/>
    </xf>
    <xf numFmtId="3" fontId="10" fillId="5" borderId="2" applyAlignment="1" pivotButton="0" quotePrefix="0" xfId="0">
      <alignment horizontal="center" vertical="center"/>
    </xf>
    <xf numFmtId="4" fontId="10" fillId="9" borderId="2" applyAlignment="1" pivotButton="0" quotePrefix="0" xfId="0">
      <alignment horizontal="center" vertical="center"/>
    </xf>
    <xf numFmtId="4" fontId="10" fillId="5" borderId="2" applyAlignment="1" pivotButton="0" quotePrefix="0" xfId="0">
      <alignment horizontal="center" vertical="center"/>
    </xf>
    <xf numFmtId="166" fontId="10" fillId="5" borderId="2" applyAlignment="1" pivotButton="0" quotePrefix="0" xfId="0">
      <alignment horizontal="center" vertical="center"/>
    </xf>
    <xf numFmtId="0" fontId="10" fillId="4" borderId="2" applyAlignment="1" pivotButton="0" quotePrefix="0" xfId="0">
      <alignment horizontal="left" vertical="center"/>
    </xf>
    <xf numFmtId="0" fontId="10" fillId="5" borderId="2" applyAlignment="1" pivotButton="0" quotePrefix="0" xfId="0">
      <alignment horizontal="center" vertical="center"/>
    </xf>
    <xf numFmtId="164" fontId="3" fillId="4" borderId="2" applyAlignment="1" pivotButton="0" quotePrefix="0" xfId="0">
      <alignment horizontal="center" vertical="center"/>
    </xf>
    <xf numFmtId="164" fontId="11" fillId="10" borderId="2" pivotButton="0" quotePrefix="0" xfId="0"/>
    <xf numFmtId="0" fontId="10" fillId="10" borderId="2" applyAlignment="1" pivotButton="0" quotePrefix="0" xfId="0">
      <alignment horizontal="left" vertical="center"/>
    </xf>
    <xf numFmtId="0" fontId="4" fillId="10" borderId="2" applyAlignment="1" pivotButton="0" quotePrefix="0" xfId="0">
      <alignment horizontal="center" vertical="center"/>
    </xf>
    <xf numFmtId="3" fontId="10" fillId="10" borderId="2" applyAlignment="1" pivotButton="0" quotePrefix="0" xfId="0">
      <alignment horizontal="center" vertical="center"/>
    </xf>
    <xf numFmtId="4" fontId="10" fillId="10" borderId="2" applyAlignment="1" pivotButton="0" quotePrefix="0" xfId="0">
      <alignment horizontal="center" vertical="center"/>
    </xf>
    <xf numFmtId="166" fontId="10" fillId="10" borderId="2" applyAlignment="1" pivotButton="0" quotePrefix="0" xfId="0">
      <alignment horizontal="center" vertical="center"/>
    </xf>
    <xf numFmtId="0" fontId="10" fillId="10" borderId="2" applyAlignment="1" pivotButton="0" quotePrefix="0" xfId="0">
      <alignment horizontal="center" vertical="center"/>
    </xf>
    <xf numFmtId="0" fontId="12" fillId="9" borderId="2" applyAlignment="1" pivotButton="0" quotePrefix="0" xfId="0">
      <alignment horizontal="left" vertical="center"/>
    </xf>
    <xf numFmtId="0" fontId="2" fillId="11" borderId="2" applyAlignment="1" pivotButton="0" quotePrefix="0" xfId="0">
      <alignment horizontal="center" vertical="center"/>
    </xf>
    <xf numFmtId="0" fontId="0" fillId="11" borderId="2" pivotButton="0" quotePrefix="0" xfId="0"/>
    <xf numFmtId="4" fontId="2" fillId="11" borderId="2" applyAlignment="1" pivotButton="0" quotePrefix="0" xfId="0">
      <alignment horizontal="center" vertical="center"/>
    </xf>
    <xf numFmtId="166" fontId="2" fillId="11" borderId="2" applyAlignment="1" pivotButton="0" quotePrefix="0" xfId="0">
      <alignment horizontal="center" vertical="center"/>
    </xf>
    <xf numFmtId="164" fontId="2" fillId="11" borderId="2" applyAlignment="1" pivotButton="0" quotePrefix="0" xfId="0">
      <alignment horizontal="center" vertical="center"/>
    </xf>
    <xf numFmtId="4" fontId="2" fillId="3" borderId="2" applyAlignment="1" pivotButton="0" quotePrefix="0" xfId="0">
      <alignment horizontal="center" vertical="center"/>
    </xf>
    <xf numFmtId="164" fontId="2" fillId="3" borderId="2" applyAlignment="1" pivotButton="0" quotePrefix="0" xfId="0">
      <alignment horizontal="center" vertical="center"/>
    </xf>
    <xf numFmtId="0" fontId="13" fillId="2" borderId="1" applyAlignment="1" pivotButton="0" quotePrefix="0" xfId="0">
      <alignment horizontal="center" vertical="center"/>
    </xf>
    <xf numFmtId="0" fontId="2" fillId="3" borderId="2" applyAlignment="1" pivotButton="0" quotePrefix="0" xfId="0">
      <alignment horizontal="center" vertical="center" wrapText="1"/>
    </xf>
    <xf numFmtId="164" fontId="10" fillId="5" borderId="2" applyAlignment="1" pivotButton="0" quotePrefix="0" xfId="0">
      <alignment horizontal="center" vertical="center"/>
    </xf>
    <xf numFmtId="0" fontId="4" fillId="10" borderId="2" applyAlignment="1" pivotButton="0" quotePrefix="0" xfId="0">
      <alignment horizontal="left" vertical="center"/>
    </xf>
    <xf numFmtId="164" fontId="10" fillId="10" borderId="2" applyAlignment="1" pivotButton="0" quotePrefix="0" xfId="0">
      <alignment horizontal="center" vertical="center"/>
    </xf>
    <xf numFmtId="0" fontId="14" fillId="3" borderId="1" applyAlignment="1" pivotButton="0" quotePrefix="0" xfId="0">
      <alignment horizontal="center" vertical="center"/>
    </xf>
    <xf numFmtId="4" fontId="14" fillId="3" borderId="1" applyAlignment="1" pivotButton="0" quotePrefix="0" xfId="0">
      <alignment horizontal="center" vertical="center"/>
    </xf>
    <xf numFmtId="164" fontId="14" fillId="3" borderId="1" applyAlignment="1" pivotButton="0" quotePrefix="0" xfId="0">
      <alignment horizontal="center" vertical="center"/>
    </xf>
    <xf numFmtId="0" fontId="1" fillId="12" borderId="1" applyAlignment="1" pivotButton="0" quotePrefix="0" xfId="0">
      <alignment horizontal="center" vertical="center"/>
    </xf>
    <xf numFmtId="0" fontId="0" fillId="0" borderId="9" pivotButton="0" quotePrefix="0" xfId="0"/>
    <xf numFmtId="0" fontId="0" fillId="0" borderId="10" pivotButton="0" quotePrefix="0" xfId="0"/>
    <xf numFmtId="0" fontId="0" fillId="0" borderId="6" pivotButton="0" quotePrefix="0" xfId="0"/>
    <xf numFmtId="0" fontId="3" fillId="13" borderId="2" applyAlignment="1" pivotButton="0" quotePrefix="0" xfId="0">
      <alignment horizontal="left" vertical="center"/>
    </xf>
    <xf numFmtId="0" fontId="3" fillId="13" borderId="2" applyAlignment="1" pivotButton="0" quotePrefix="0" xfId="0">
      <alignment horizontal="center" vertical="center"/>
    </xf>
    <xf numFmtId="164" fontId="5" fillId="13" borderId="2" applyAlignment="1" pivotButton="0" quotePrefix="0" xfId="0">
      <alignment horizontal="center" vertical="center"/>
    </xf>
    <xf numFmtId="0" fontId="0" fillId="0" borderId="5" pivotButton="0" quotePrefix="0" xfId="0"/>
    <xf numFmtId="0" fontId="8" fillId="12" borderId="2" applyAlignment="1" pivotButton="0" quotePrefix="0" xfId="0">
      <alignment horizontal="center" vertical="center"/>
    </xf>
    <xf numFmtId="0" fontId="10" fillId="13" borderId="2" applyAlignment="1" pivotButton="0" quotePrefix="0" xfId="0">
      <alignment horizontal="center" vertical="center"/>
    </xf>
    <xf numFmtId="0" fontId="10" fillId="13" borderId="2" applyAlignment="1" pivotButton="0" quotePrefix="0" xfId="0">
      <alignment horizontal="left" vertical="center"/>
    </xf>
    <xf numFmtId="164" fontId="3" fillId="13" borderId="2" applyAlignment="1" pivotButton="0" quotePrefix="0" xfId="0">
      <alignment horizontal="center" vertical="center"/>
    </xf>
    <xf numFmtId="0" fontId="15" fillId="9" borderId="2" applyAlignment="1" pivotButton="0" quotePrefix="0" xfId="0">
      <alignment horizontal="left" vertical="center"/>
    </xf>
    <xf numFmtId="0" fontId="15" fillId="9" borderId="0" pivotButton="0" quotePrefix="0" xfId="0"/>
    <xf numFmtId="0" fontId="2" fillId="11" borderId="2" pivotButton="0" quotePrefix="0" xfId="0"/>
    <xf numFmtId="0" fontId="2" fillId="11" borderId="0" pivotButton="0" quotePrefix="0" xfId="0"/>
    <xf numFmtId="0" fontId="2" fillId="3" borderId="2" pivotButton="0" quotePrefix="0" xfId="0"/>
    <xf numFmtId="0" fontId="2" fillId="3" borderId="0" pivotButton="0" quotePrefix="0" xfId="0"/>
    <xf numFmtId="0" fontId="8" fillId="12" borderId="1" applyAlignment="1" pivotButton="0" quotePrefix="0" xfId="0">
      <alignment horizontal="center" vertical="center"/>
    </xf>
    <xf numFmtId="0" fontId="6" fillId="7" borderId="2" applyAlignment="1" pivotButton="0" quotePrefix="0" xfId="0">
      <alignment horizontal="center" vertical="center"/>
    </xf>
    <xf numFmtId="0" fontId="2" fillId="7" borderId="2" applyAlignment="1" pivotButton="0" quotePrefix="0" xfId="0">
      <alignment horizontal="center" vertical="center"/>
    </xf>
    <xf numFmtId="0" fontId="16" fillId="5" borderId="2" applyAlignment="1" pivotButton="0" quotePrefix="0" xfId="0">
      <alignment horizontal="left" vertical="center"/>
    </xf>
    <xf numFmtId="0" fontId="6" fillId="5" borderId="2" applyAlignment="1" pivotButton="0" quotePrefix="0" xfId="0">
      <alignment horizontal="center" vertical="center"/>
    </xf>
    <xf numFmtId="164" fontId="5" fillId="13" borderId="1" applyAlignment="1" pivotButton="0" quotePrefix="0" xfId="0">
      <alignment horizontal="center" vertical="center"/>
    </xf>
    <xf numFmtId="164" fontId="17" fillId="12" borderId="2" applyAlignment="1" pivotButton="0" quotePrefix="0" xfId="0">
      <alignment horizontal="center" vertical="center"/>
    </xf>
    <xf numFmtId="4" fontId="3" fillId="13" borderId="2" applyAlignment="1" pivotButton="0" quotePrefix="0" xfId="0">
      <alignment horizontal="center" vertical="center"/>
    </xf>
    <xf numFmtId="0" fontId="16" fillId="10" borderId="2" applyAlignment="1" pivotButton="0" quotePrefix="0" xfId="0">
      <alignment horizontal="left" vertical="center"/>
    </xf>
    <xf numFmtId="0" fontId="6" fillId="10" borderId="2" applyAlignment="1" pivotButton="0" quotePrefix="0" xfId="0">
      <alignment horizontal="center" vertical="center"/>
    </xf>
    <xf numFmtId="0" fontId="13" fillId="12" borderId="1" applyAlignment="1" pivotButton="0" quotePrefix="0" xfId="0">
      <alignment horizontal="center" vertical="center"/>
    </xf>
    <xf numFmtId="0" fontId="16" fillId="10" borderId="2" applyAlignment="1" pivotButton="0" quotePrefix="0" xfId="0">
      <alignment horizontal="center" vertical="center" wrapText="1"/>
    </xf>
    <xf numFmtId="0" fontId="16" fillId="10" borderId="2" applyAlignment="1" pivotButton="0" quotePrefix="0" xfId="0">
      <alignment horizontal="center" vertical="center"/>
    </xf>
    <xf numFmtId="0" fontId="10" fillId="10" borderId="11" pivotButton="0" quotePrefix="0" xfId="0"/>
    <xf numFmtId="164" fontId="9" fillId="7" borderId="2" applyAlignment="1" pivotButton="0" quotePrefix="0" xfId="0">
      <alignment horizontal="center" vertical="center" wrapText="1"/>
    </xf>
    <xf numFmtId="0" fontId="3" fillId="13" borderId="2" applyAlignment="1" pivotButton="0" quotePrefix="0" xfId="0">
      <alignment horizontal="left" vertical="center" wrapText="1"/>
    </xf>
    <xf numFmtId="167" fontId="3" fillId="13" borderId="2" applyAlignment="1" pivotButton="0" quotePrefix="0" xfId="0">
      <alignment horizontal="center" vertical="center"/>
    </xf>
    <xf numFmtId="164" fontId="10" fillId="9" borderId="2" applyAlignment="1" pivotButton="0" quotePrefix="0" xfId="0">
      <alignment horizontal="center" vertical="center"/>
    </xf>
    <xf numFmtId="0" fontId="14" fillId="3" borderId="2" applyAlignment="1" pivotButton="0" quotePrefix="0" xfId="0">
      <alignment horizontal="center" vertical="center"/>
    </xf>
    <xf numFmtId="0" fontId="18" fillId="3" borderId="2" pivotButton="0" quotePrefix="0" xfId="0"/>
    <xf numFmtId="164" fontId="18" fillId="3" borderId="2" pivotButton="0" quotePrefix="0" xfId="0"/>
    <xf numFmtId="0" fontId="19" fillId="14" borderId="2" applyAlignment="1" pivotButton="0" quotePrefix="0" xfId="0">
      <alignment horizontal="center" vertical="center"/>
    </xf>
    <xf numFmtId="0" fontId="0" fillId="10" borderId="11" pivotButton="0" quotePrefix="0" xfId="0"/>
    <xf numFmtId="0" fontId="8" fillId="3" borderId="1" applyAlignment="1" pivotButton="0" quotePrefix="0" xfId="0">
      <alignment horizontal="center" vertical="center"/>
    </xf>
    <xf numFmtId="167" fontId="10" fillId="9" borderId="2" applyAlignment="1" pivotButton="0" quotePrefix="0" xfId="0">
      <alignment horizontal="center" vertical="center"/>
    </xf>
    <xf numFmtId="164" fontId="10" fillId="15" borderId="2" applyAlignment="1" pivotButton="0" quotePrefix="0" xfId="0">
      <alignment horizontal="center" vertical="center"/>
    </xf>
    <xf numFmtId="168" fontId="10" fillId="9" borderId="2" applyAlignment="1" pivotButton="0" quotePrefix="0" xfId="0">
      <alignment horizontal="center" vertical="center"/>
    </xf>
    <xf numFmtId="167" fontId="2" fillId="3" borderId="2" applyAlignment="1" pivotButton="0" quotePrefix="0" xfId="0">
      <alignment horizontal="center" vertical="center"/>
    </xf>
    <xf numFmtId="164" fontId="2" fillId="3" borderId="1" applyAlignment="1" pivotButton="0" quotePrefix="0" xfId="0">
      <alignment horizontal="center" vertical="center"/>
    </xf>
    <xf numFmtId="168" fontId="2" fillId="3" borderId="2" applyAlignment="1" pivotButton="0" quotePrefix="0" xfId="0">
      <alignment horizontal="center" vertical="center"/>
    </xf>
    <xf numFmtId="0" fontId="20" fillId="3" borderId="1" applyAlignment="1" pivotButton="0" quotePrefix="0" xfId="0">
      <alignment horizontal="center" vertical="center"/>
    </xf>
    <xf numFmtId="0" fontId="10" fillId="7" borderId="2" pivotButton="0" quotePrefix="0" xfId="0"/>
    <xf numFmtId="0" fontId="21" fillId="12" borderId="2" applyAlignment="1" pivotButton="0" quotePrefix="0" xfId="0">
      <alignment horizontal="center" vertical="center"/>
    </xf>
    <xf numFmtId="0" fontId="21" fillId="9" borderId="2" applyAlignment="1" pivotButton="0" quotePrefix="0" xfId="0">
      <alignment horizontal="center" vertical="center"/>
    </xf>
    <xf numFmtId="167" fontId="21" fillId="12" borderId="2" applyAlignment="1" pivotButton="0" quotePrefix="0" xfId="0">
      <alignment horizontal="center" vertical="center" wrapText="1"/>
    </xf>
    <xf numFmtId="0" fontId="21" fillId="12" borderId="2" applyAlignment="1" pivotButton="0" quotePrefix="0" xfId="0">
      <alignment horizontal="center" vertical="center" wrapText="1"/>
    </xf>
    <xf numFmtId="164" fontId="21" fillId="12" borderId="2" applyAlignment="1" pivotButton="0" quotePrefix="0" xfId="0">
      <alignment horizontal="center" vertical="center" wrapText="1"/>
    </xf>
    <xf numFmtId="0" fontId="21" fillId="9" borderId="2" applyAlignment="1" pivotButton="0" quotePrefix="0" xfId="0">
      <alignment horizontal="center" vertical="center" wrapText="1"/>
    </xf>
    <xf numFmtId="167" fontId="10" fillId="16" borderId="2" applyAlignment="1" pivotButton="0" quotePrefix="0" xfId="0">
      <alignment horizontal="center" vertical="center"/>
    </xf>
    <xf numFmtId="164" fontId="10" fillId="16" borderId="2" applyAlignment="1" pivotButton="0" quotePrefix="0" xfId="0">
      <alignment horizontal="center" vertical="center"/>
    </xf>
    <xf numFmtId="164" fontId="10" fillId="16" borderId="12" applyAlignment="1" pivotButton="0" quotePrefix="0" xfId="0">
      <alignment horizontal="center" vertical="center"/>
    </xf>
    <xf numFmtId="164" fontId="10" fillId="7" borderId="2" pivotButton="0" quotePrefix="0" xfId="0"/>
    <xf numFmtId="167" fontId="10" fillId="17" borderId="2" applyAlignment="1" pivotButton="0" quotePrefix="0" xfId="0">
      <alignment horizontal="center" vertical="center"/>
    </xf>
    <xf numFmtId="164" fontId="10" fillId="17" borderId="2" applyAlignment="1" pivotButton="0" quotePrefix="0" xfId="0">
      <alignment horizontal="center" vertical="center"/>
    </xf>
    <xf numFmtId="168" fontId="10" fillId="17" borderId="2" applyAlignment="1" pivotButton="0" quotePrefix="0" xfId="0">
      <alignment horizontal="center" vertical="center"/>
    </xf>
    <xf numFmtId="0" fontId="0" fillId="7" borderId="2" pivotButton="0" quotePrefix="0" xfId="0"/>
    <xf numFmtId="0" fontId="10" fillId="7" borderId="2" applyAlignment="1" pivotButton="0" quotePrefix="0" xfId="0">
      <alignment horizontal="center" vertical="center"/>
    </xf>
    <xf numFmtId="164" fontId="21" fillId="12" borderId="12" applyAlignment="1" pivotButton="0" quotePrefix="0" xfId="0">
      <alignment horizontal="center" vertical="center" wrapText="1"/>
    </xf>
    <xf numFmtId="164" fontId="21" fillId="9" borderId="2" applyAlignment="1" pivotButton="0" quotePrefix="0" xfId="0">
      <alignment horizontal="center" vertical="center" wrapText="1"/>
    </xf>
    <xf numFmtId="168" fontId="10" fillId="10" borderId="11" pivotButton="0" quotePrefix="0" xfId="0"/>
    <xf numFmtId="164" fontId="14" fillId="3" borderId="12" applyAlignment="1" pivotButton="0" quotePrefix="0" xfId="0">
      <alignment horizontal="center" vertical="center"/>
    </xf>
    <xf numFmtId="164" fontId="14" fillId="3" borderId="2" applyAlignment="1" pivotButton="0" quotePrefix="0" xfId="0">
      <alignment horizontal="center" vertical="center"/>
    </xf>
    <xf numFmtId="0" fontId="22" fillId="3" borderId="1" applyAlignment="1" pivotButton="0" quotePrefix="0" xfId="0">
      <alignment horizontal="center" vertical="center"/>
    </xf>
    <xf numFmtId="0" fontId="9" fillId="3" borderId="2" applyAlignment="1" pivotButton="0" quotePrefix="0" xfId="0">
      <alignment horizontal="center" vertical="center" wrapText="1"/>
    </xf>
    <xf numFmtId="0" fontId="21" fillId="13" borderId="2" applyAlignment="1" pivotButton="0" quotePrefix="0" xfId="0">
      <alignment horizontal="center" vertical="center" wrapText="1"/>
    </xf>
    <xf numFmtId="167" fontId="10" fillId="15" borderId="2" applyAlignment="1" pivotButton="0" quotePrefix="0" xfId="0">
      <alignment horizontal="center" vertical="center"/>
    </xf>
    <xf numFmtId="164" fontId="4" fillId="9" borderId="2" applyAlignment="1" pivotButton="0" quotePrefix="0" xfId="0">
      <alignment horizontal="center" vertical="center"/>
    </xf>
    <xf numFmtId="164" fontId="10" fillId="13" borderId="2" applyAlignment="1" pivotButton="0" quotePrefix="0" xfId="0">
      <alignment horizontal="center" vertical="center"/>
    </xf>
    <xf numFmtId="167" fontId="10" fillId="10" borderId="11" pivotButton="0" quotePrefix="0" xfId="0"/>
    <xf numFmtId="164" fontId="10" fillId="10" borderId="11" pivotButton="0" quotePrefix="0" xfId="0"/>
    <xf numFmtId="0" fontId="21" fillId="15" borderId="2" applyAlignment="1" pivotButton="0" quotePrefix="0" xfId="0">
      <alignment horizontal="center" vertical="center" wrapText="1"/>
    </xf>
    <xf numFmtId="0" fontId="21" fillId="16" borderId="2" applyAlignment="1" pivotButton="0" quotePrefix="0" xfId="0">
      <alignment horizontal="center" vertical="center" wrapText="1"/>
    </xf>
    <xf numFmtId="0" fontId="21" fillId="12" borderId="12" applyAlignment="1" pivotButton="0" quotePrefix="0" xfId="0">
      <alignment horizontal="center" vertical="center" wrapText="1"/>
    </xf>
    <xf numFmtId="164" fontId="4" fillId="16" borderId="12" applyAlignment="1" pivotButton="0" quotePrefix="0" xfId="0">
      <alignment horizontal="center" vertical="center"/>
    </xf>
    <xf numFmtId="164" fontId="4" fillId="17" borderId="2" applyAlignment="1" pivotButton="0" quotePrefix="0" xfId="0">
      <alignment horizontal="center" vertical="center"/>
    </xf>
    <xf numFmtId="164" fontId="2"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5C800"/>
    <outlinePr summaryBelow="0" summaryRight="1"/>
    <pageSetUpPr/>
  </sheetPr>
  <dimension ref="A1:S1140"/>
  <sheetViews>
    <sheetView workbookViewId="0">
      <pane ySplit="16" topLeftCell="A17" activePane="bottomLeft" state="frozen"/>
      <selection pane="bottomLeft" activeCell="A1" sqref="A1"/>
    </sheetView>
  </sheetViews>
  <sheetFormatPr baseColWidth="8" defaultRowHeight="15"/>
  <cols>
    <col width="18" customWidth="1" min="1" max="1"/>
    <col width="10" customWidth="1" min="2" max="2"/>
    <col width="13" customWidth="1" min="3" max="3"/>
    <col width="12" customWidth="1" min="4" max="4"/>
    <col width="13" customWidth="1" min="5" max="5"/>
    <col width="14" customWidth="1" min="6" max="6"/>
    <col width="10" customWidth="1" min="7" max="7"/>
    <col width="13" customWidth="1" min="8" max="8"/>
    <col width="12" customWidth="1" min="9" max="9"/>
    <col width="13" customWidth="1" min="10" max="10"/>
    <col width="14" customWidth="1" min="11" max="11"/>
    <col width="14" customWidth="1" min="12" max="12"/>
    <col width="10" customWidth="1" min="13" max="13"/>
    <col width="2" customWidth="1" min="14" max="14"/>
    <col width="12" customWidth="1" min="15" max="15"/>
    <col width="13" customWidth="1" min="16" max="16"/>
    <col width="14" customWidth="1" min="17" max="17"/>
    <col width="14" customWidth="1" min="18" max="18"/>
    <col width="10" customWidth="1" min="19" max="19"/>
  </cols>
  <sheetData>
    <row r="1" ht="28" customHeight="1">
      <c r="A1" s="47" t="inlineStr">
        <is>
          <t>CARTAGE REGISTER  –  STH Piling Pty Ltd</t>
        </is>
      </c>
      <c r="B1" s="48" t="n"/>
      <c r="C1" s="48" t="n"/>
      <c r="D1" s="48" t="n"/>
      <c r="E1" s="48" t="n"/>
      <c r="F1" s="48" t="n"/>
      <c r="G1" s="48" t="n"/>
      <c r="H1" s="48" t="n"/>
      <c r="I1" s="48" t="n"/>
      <c r="J1" s="48" t="n"/>
      <c r="K1" s="48" t="n"/>
      <c r="L1" s="48" t="n"/>
      <c r="M1" s="48" t="n"/>
      <c r="N1" s="49" t="n"/>
    </row>
    <row r="2" ht="6" customHeight="1"/>
    <row r="3" ht="22" customHeight="1">
      <c r="A3" s="65" t="inlineStr">
        <is>
          <t>STH BOQ  —  Fill out once at job start, do not change</t>
        </is>
      </c>
      <c r="B3" s="48" t="n"/>
      <c r="C3" s="48" t="n"/>
      <c r="D3" s="48" t="n"/>
      <c r="E3" s="48" t="n"/>
      <c r="F3" s="48" t="n"/>
      <c r="G3" s="49" t="n"/>
      <c r="H3" s="78" t="n"/>
      <c r="I3" s="78" t="n"/>
      <c r="J3" s="78" t="n"/>
      <c r="K3" s="78" t="n"/>
      <c r="L3" s="78" t="n"/>
      <c r="M3" s="78" t="n"/>
      <c r="N3" s="78" t="n"/>
    </row>
    <row r="4" ht="32" customHeight="1">
      <c r="A4" s="12" t="inlineStr">
        <is>
          <t>Material</t>
        </is>
      </c>
      <c r="B4" s="12" t="inlineStr">
        <is>
          <t>Volume
(loose m³)</t>
        </is>
      </c>
      <c r="C4" s="12" t="inlineStr">
        <is>
          <t>Unit</t>
        </is>
      </c>
      <c r="D4" s="12" t="inlineStr">
        <is>
          <t>Loading Rate
($/m³)</t>
        </is>
      </c>
      <c r="E4" s="79" t="inlineStr">
        <is>
          <t>Cartage Rate
($/m³)</t>
        </is>
      </c>
      <c r="F4" s="12" t="inlineStr">
        <is>
          <t>Total Rate
($/m³)</t>
        </is>
      </c>
      <c r="G4" s="12" t="inlineStr">
        <is>
          <t>Amount ($)</t>
        </is>
      </c>
      <c r="H4" s="78" t="n"/>
      <c r="I4" s="78" t="n"/>
      <c r="J4" s="78" t="n"/>
      <c r="K4" s="78" t="n"/>
      <c r="L4" s="78" t="n"/>
      <c r="M4" s="78" t="n"/>
      <c r="N4" s="78" t="n"/>
    </row>
    <row r="5" ht="18" customHeight="1">
      <c r="A5" s="80" t="n"/>
      <c r="B5" s="81" t="n"/>
      <c r="C5" s="22" t="inlineStr">
        <is>
          <t>m³</t>
        </is>
      </c>
      <c r="D5" s="58" t="n"/>
      <c r="E5" s="58" t="n"/>
      <c r="F5" s="82">
        <f>IFERROR(D5+E5,0)</f>
        <v/>
      </c>
      <c r="G5" s="82">
        <f>IFERROR(B5*F5,0)</f>
        <v/>
      </c>
      <c r="H5" s="78" t="n"/>
      <c r="I5" s="78" t="n"/>
      <c r="J5" s="78" t="n"/>
      <c r="K5" s="78" t="n"/>
      <c r="L5" s="78" t="n"/>
      <c r="M5" s="78" t="n"/>
      <c r="N5" s="78" t="n"/>
    </row>
    <row r="6" ht="18" customHeight="1">
      <c r="A6" s="80" t="n"/>
      <c r="B6" s="81" t="n"/>
      <c r="C6" s="30" t="inlineStr">
        <is>
          <t>m³</t>
        </is>
      </c>
      <c r="D6" s="58" t="n"/>
      <c r="E6" s="58" t="n"/>
      <c r="F6" s="82">
        <f>IFERROR(D6+E6,0)</f>
        <v/>
      </c>
      <c r="G6" s="82">
        <f>IFERROR(B6*F6,0)</f>
        <v/>
      </c>
      <c r="H6" s="78" t="n"/>
      <c r="I6" s="78" t="n"/>
      <c r="J6" s="78" t="n"/>
      <c r="K6" s="78" t="n"/>
      <c r="L6" s="78" t="n"/>
      <c r="M6" s="78" t="n"/>
      <c r="N6" s="78" t="n"/>
    </row>
    <row r="7" ht="18" customHeight="1">
      <c r="A7" s="80" t="n"/>
      <c r="B7" s="81" t="n"/>
      <c r="C7" s="22" t="inlineStr">
        <is>
          <t>m³</t>
        </is>
      </c>
      <c r="D7" s="58" t="n"/>
      <c r="E7" s="58" t="n"/>
      <c r="F7" s="82">
        <f>IFERROR(D7+E7,0)</f>
        <v/>
      </c>
      <c r="G7" s="82">
        <f>IFERROR(B7*F7,0)</f>
        <v/>
      </c>
      <c r="H7" s="78" t="n"/>
      <c r="I7" s="78" t="n"/>
      <c r="J7" s="78" t="n"/>
      <c r="K7" s="78" t="n"/>
      <c r="L7" s="78" t="n"/>
      <c r="M7" s="78" t="n"/>
      <c r="N7" s="78" t="n"/>
    </row>
    <row r="8" ht="18" customHeight="1">
      <c r="A8" s="80" t="n"/>
      <c r="B8" s="81" t="n"/>
      <c r="C8" s="30" t="inlineStr">
        <is>
          <t>m³</t>
        </is>
      </c>
      <c r="D8" s="58" t="n"/>
      <c r="E8" s="58" t="n"/>
      <c r="F8" s="82">
        <f>IFERROR(D8+E8,0)</f>
        <v/>
      </c>
      <c r="G8" s="82">
        <f>IFERROR(B8*F8,0)</f>
        <v/>
      </c>
      <c r="H8" s="78" t="n"/>
      <c r="I8" s="78" t="n"/>
      <c r="J8" s="78" t="n"/>
      <c r="K8" s="78" t="n"/>
      <c r="L8" s="78" t="n"/>
      <c r="M8" s="78" t="n"/>
      <c r="N8" s="78" t="n"/>
    </row>
    <row r="9" ht="18" customHeight="1">
      <c r="A9" s="80" t="n"/>
      <c r="B9" s="81" t="n"/>
      <c r="C9" s="22" t="inlineStr">
        <is>
          <t>m³</t>
        </is>
      </c>
      <c r="D9" s="58" t="n"/>
      <c r="E9" s="58" t="n"/>
      <c r="F9" s="82">
        <f>IFERROR(D9+E9,0)</f>
        <v/>
      </c>
      <c r="G9" s="82">
        <f>IFERROR(B9*F9,0)</f>
        <v/>
      </c>
      <c r="H9" s="78" t="n"/>
      <c r="I9" s="78" t="n"/>
      <c r="J9" s="78" t="n"/>
      <c r="K9" s="78" t="n"/>
      <c r="L9" s="78" t="n"/>
      <c r="M9" s="78" t="n"/>
      <c r="N9" s="78" t="n"/>
    </row>
    <row r="10" ht="18" customHeight="1">
      <c r="A10" s="80" t="n"/>
      <c r="B10" s="81" t="n"/>
      <c r="C10" s="30" t="inlineStr">
        <is>
          <t>m³</t>
        </is>
      </c>
      <c r="D10" s="58" t="n"/>
      <c r="E10" s="58" t="n"/>
      <c r="F10" s="82">
        <f>IFERROR(D10+E10,0)</f>
        <v/>
      </c>
      <c r="G10" s="82">
        <f>IFERROR(B10*F10,0)</f>
        <v/>
      </c>
      <c r="H10" s="78" t="n"/>
      <c r="I10" s="78" t="n"/>
      <c r="J10" s="78" t="n"/>
      <c r="K10" s="78" t="n"/>
      <c r="L10" s="78" t="n"/>
      <c r="M10" s="78" t="n"/>
      <c r="N10" s="78" t="n"/>
    </row>
    <row r="11" ht="18" customHeight="1">
      <c r="A11" s="80" t="n"/>
      <c r="B11" s="81" t="n"/>
      <c r="C11" s="22" t="inlineStr">
        <is>
          <t>m³</t>
        </is>
      </c>
      <c r="D11" s="58" t="n"/>
      <c r="E11" s="58" t="n"/>
      <c r="F11" s="82">
        <f>IFERROR(D11+E11,0)</f>
        <v/>
      </c>
      <c r="G11" s="82">
        <f>IFERROR(B11*F11,0)</f>
        <v/>
      </c>
      <c r="H11" s="78" t="n"/>
      <c r="I11" s="78" t="n"/>
      <c r="J11" s="78" t="n"/>
      <c r="K11" s="78" t="n"/>
      <c r="L11" s="78" t="n"/>
      <c r="M11" s="78" t="n"/>
      <c r="N11" s="78" t="n"/>
    </row>
    <row r="12" ht="18" customHeight="1">
      <c r="A12" s="80" t="n"/>
      <c r="B12" s="81" t="n"/>
      <c r="C12" s="30" t="inlineStr">
        <is>
          <t>m³</t>
        </is>
      </c>
      <c r="D12" s="58" t="n"/>
      <c r="E12" s="58" t="n"/>
      <c r="F12" s="82">
        <f>IFERROR(D12+E12,0)</f>
        <v/>
      </c>
      <c r="G12" s="82">
        <f>IFERROR(B12*F12,0)</f>
        <v/>
      </c>
      <c r="H12" s="78" t="n"/>
      <c r="I12" s="78" t="n"/>
      <c r="J12" s="78" t="n"/>
      <c r="K12" s="78" t="n"/>
      <c r="L12" s="78" t="n"/>
      <c r="M12" s="78" t="n"/>
      <c r="N12" s="78" t="n"/>
    </row>
    <row r="13" ht="20" customHeight="1">
      <c r="A13" s="83" t="inlineStr">
        <is>
          <t>TOTAL</t>
        </is>
      </c>
      <c r="B13" s="92">
        <f>SUM(B5:B12)</f>
        <v/>
      </c>
      <c r="C13" s="2" t="n"/>
      <c r="D13" s="2" t="n"/>
      <c r="E13" s="38" t="n"/>
      <c r="F13" s="38">
        <f>IFERROR(SUM(G5:G12)/SUM(B5:B12),0)</f>
        <v/>
      </c>
      <c r="G13" s="46">
        <f>SUM(G5:G12)</f>
        <v/>
      </c>
      <c r="H13" s="78" t="n"/>
      <c r="I13" s="78" t="n"/>
      <c r="J13" s="78" t="n"/>
      <c r="K13" s="78" t="n"/>
      <c r="L13" s="78" t="n"/>
      <c r="M13" s="78" t="n"/>
      <c r="N13" s="78" t="n"/>
    </row>
    <row r="14" ht="14" customHeight="1">
      <c r="A14" s="86" t="inlineStr">
        <is>
          <t>⬆  STH BOQ — Set once per job. Rates feed into the Package tables below.</t>
        </is>
      </c>
      <c r="B14" s="54" t="n"/>
      <c r="C14" s="54" t="n"/>
      <c r="D14" s="54" t="n"/>
      <c r="E14" s="54" t="n"/>
      <c r="F14" s="54" t="n"/>
      <c r="G14" s="50" t="n"/>
      <c r="H14" s="87" t="n"/>
      <c r="I14" s="87" t="n"/>
      <c r="J14" s="87" t="n"/>
      <c r="K14" s="87" t="n"/>
      <c r="L14" s="87" t="n"/>
      <c r="M14" s="87" t="n"/>
      <c r="N14" s="87" t="n"/>
    </row>
    <row r="15" ht="6" customHeight="1">
      <c r="A15" s="51" t="n"/>
      <c r="B15" s="5" t="inlineStr">
        <is>
          <t>Other</t>
        </is>
      </c>
      <c r="C15" s="52" t="inlineStr">
        <is>
          <t>Export</t>
        </is>
      </c>
      <c r="D15" s="7" t="n"/>
      <c r="E15" s="53" t="n"/>
      <c r="F15" s="9" t="inlineStr"/>
    </row>
    <row r="16" ht="14" customHeight="1">
      <c r="A16" s="10" t="inlineStr">
        <is>
          <t>Truck Type → m³/Load:   Tandem = 10m³   |   TT = 22m³   |   Quad = 25m³   (auto-fills when truck type selected)</t>
        </is>
      </c>
      <c r="B16" s="54" t="n"/>
      <c r="C16" s="54" t="n"/>
      <c r="D16" s="54" t="n"/>
      <c r="E16" s="54" t="n"/>
      <c r="F16" s="54" t="n"/>
      <c r="G16" s="54" t="n"/>
      <c r="H16" s="54" t="n"/>
      <c r="I16" s="54" t="n"/>
      <c r="J16" s="54" t="n"/>
      <c r="K16" s="54" t="n"/>
      <c r="L16" s="54" t="n"/>
      <c r="M16" s="54" t="n"/>
      <c r="N16" s="50" t="n"/>
    </row>
    <row r="17" ht="22" customHeight="1">
      <c r="A17" s="55" t="inlineStr">
        <is>
          <t>DAY 1</t>
        </is>
      </c>
      <c r="B17" s="54" t="n"/>
      <c r="C17" s="54" t="n"/>
      <c r="D17" s="54" t="n"/>
      <c r="E17" s="54" t="n"/>
      <c r="F17" s="54" t="n"/>
      <c r="G17" s="54" t="n"/>
      <c r="H17" s="54" t="n"/>
      <c r="I17" s="54" t="n"/>
      <c r="J17" s="54" t="n"/>
      <c r="K17" s="54" t="n"/>
      <c r="L17" s="54" t="n"/>
      <c r="M17" s="54" t="n"/>
      <c r="N17" s="50" t="n"/>
    </row>
    <row r="18" outlineLevel="1" ht="28" customHeight="1">
      <c r="A18" s="12" t="inlineStr">
        <is>
          <t>Date</t>
        </is>
      </c>
      <c r="B18" s="12" t="inlineStr">
        <is>
          <t>Cartage Company</t>
        </is>
      </c>
      <c r="C18" s="12" t="inlineStr">
        <is>
          <t>Truck Rego</t>
        </is>
      </c>
      <c r="D18" s="12" t="inlineStr">
        <is>
          <t>Truck Type</t>
        </is>
      </c>
      <c r="E18" s="12" t="inlineStr">
        <is>
          <t>Exp / Imp</t>
        </is>
      </c>
      <c r="F18" s="12" t="inlineStr">
        <is>
          <t>Loads</t>
        </is>
      </c>
      <c r="G18" s="12" t="inlineStr">
        <is>
          <t>m³ / Load</t>
        </is>
      </c>
      <c r="H18" s="12" t="inlineStr">
        <is>
          <t>Total m³</t>
        </is>
      </c>
      <c r="I18" s="12" t="inlineStr">
        <is>
          <t>Hours</t>
        </is>
      </c>
      <c r="J18" s="12" t="inlineStr">
        <is>
          <t>Material</t>
        </is>
      </c>
      <c r="K18" s="12" t="inlineStr">
        <is>
          <t>Tip Site</t>
        </is>
      </c>
      <c r="L18" s="12" t="inlineStr">
        <is>
          <t>Docket #</t>
        </is>
      </c>
      <c r="M18" s="12" t="inlineStr">
        <is>
          <t>Rate Paid ($/m³)</t>
        </is>
      </c>
      <c r="N18" s="12" t="inlineStr">
        <is>
          <t>Invoice #</t>
        </is>
      </c>
    </row>
    <row r="19" outlineLevel="1" ht="16" customHeight="1">
      <c r="A19" s="13" t="n"/>
      <c r="B19" s="14" t="n"/>
      <c r="C19" s="15" t="n"/>
      <c r="D19" s="56" t="n"/>
      <c r="E19" s="56" t="n"/>
      <c r="F19" s="17" t="n"/>
      <c r="G19" s="18">
        <f>IF(D19="Tandem",10,IF(D19="TT",22,IF(D19="Quad",25,"")))</f>
        <v/>
      </c>
      <c r="H19" s="19">
        <f>IFERROR(IF(F19*G19=0,0,F19*G19),0)</f>
        <v/>
      </c>
      <c r="I19" s="20" t="n"/>
      <c r="J19" s="57" t="n"/>
      <c r="K19" s="14" t="n"/>
      <c r="L19" s="22" t="n"/>
      <c r="M19" s="58" t="n"/>
      <c r="N19" s="22" t="n"/>
      <c r="O19" s="24">
        <f>IFERROR(IF(OR(M19="",M19=0),0,H19*VALUE(SUBSTITUTE(M19&amp;"","$",""))),0)</f>
        <v/>
      </c>
    </row>
    <row r="20" outlineLevel="1" ht="16" customHeight="1">
      <c r="A20" s="13" t="n"/>
      <c r="B20" s="25" t="n"/>
      <c r="C20" s="26" t="n"/>
      <c r="D20" s="56" t="n"/>
      <c r="E20" s="56" t="n"/>
      <c r="F20" s="27" t="n"/>
      <c r="G20" s="18">
        <f>IF(D20="Tandem",10,IF(D20="TT",22,IF(D20="Quad",25,"")))</f>
        <v/>
      </c>
      <c r="H20" s="28">
        <f>IFERROR(IF(F20*G20=0,0,F20*G20),0)</f>
        <v/>
      </c>
      <c r="I20" s="29" t="n"/>
      <c r="J20" s="57" t="n"/>
      <c r="K20" s="25" t="n"/>
      <c r="L20" s="30" t="n"/>
      <c r="M20" s="58" t="n"/>
      <c r="N20" s="30" t="n"/>
      <c r="O20" s="24">
        <f>IFERROR(IF(OR(M20="",M20=0),0,H20*VALUE(SUBSTITUTE(M20&amp;"","$",""))),0)</f>
        <v/>
      </c>
    </row>
    <row r="21" outlineLevel="1" ht="16" customHeight="1">
      <c r="A21" s="13" t="n"/>
      <c r="B21" s="14" t="n"/>
      <c r="C21" s="15" t="n"/>
      <c r="D21" s="56" t="n"/>
      <c r="E21" s="56" t="n"/>
      <c r="F21" s="17" t="n"/>
      <c r="G21" s="18">
        <f>IF(D21="Tandem",10,IF(D21="TT",22,IF(D21="Quad",25,"")))</f>
        <v/>
      </c>
      <c r="H21" s="19">
        <f>IFERROR(IF(F21*G21=0,0,F21*G21),0)</f>
        <v/>
      </c>
      <c r="I21" s="20" t="n"/>
      <c r="J21" s="57" t="n"/>
      <c r="K21" s="14" t="n"/>
      <c r="L21" s="22" t="n"/>
      <c r="M21" s="58" t="n"/>
      <c r="N21" s="22" t="n"/>
      <c r="O21" s="24">
        <f>IFERROR(IF(OR(M21="",M21=0),0,H21*VALUE(SUBSTITUTE(M21&amp;"","$",""))),0)</f>
        <v/>
      </c>
    </row>
    <row r="22" outlineLevel="1" ht="16" customHeight="1">
      <c r="A22" s="13" t="n"/>
      <c r="B22" s="25" t="n"/>
      <c r="C22" s="26" t="n"/>
      <c r="D22" s="56" t="n"/>
      <c r="E22" s="56" t="n"/>
      <c r="F22" s="27" t="n"/>
      <c r="G22" s="18">
        <f>IF(D22="Tandem",10,IF(D22="TT",22,IF(D22="Quad",25,"")))</f>
        <v/>
      </c>
      <c r="H22" s="28">
        <f>IFERROR(IF(F22*G22=0,0,F22*G22),0)</f>
        <v/>
      </c>
      <c r="I22" s="29" t="n"/>
      <c r="J22" s="57" t="n"/>
      <c r="K22" s="25" t="n"/>
      <c r="L22" s="30" t="n"/>
      <c r="M22" s="58" t="n"/>
      <c r="N22" s="30" t="n"/>
      <c r="O22" s="24">
        <f>IFERROR(IF(OR(M22="",M22=0),0,H22*VALUE(SUBSTITUTE(M22&amp;"","$",""))),0)</f>
        <v/>
      </c>
    </row>
    <row r="23" outlineLevel="1" ht="16" customHeight="1">
      <c r="A23" s="13" t="n"/>
      <c r="B23" s="14" t="n"/>
      <c r="C23" s="15" t="n"/>
      <c r="D23" s="56" t="n"/>
      <c r="E23" s="56" t="n"/>
      <c r="F23" s="17" t="n"/>
      <c r="G23" s="18">
        <f>IF(D23="Tandem",10,IF(D23="TT",22,IF(D23="Quad",25,"")))</f>
        <v/>
      </c>
      <c r="H23" s="19">
        <f>IFERROR(IF(F23*G23=0,0,F23*G23),0)</f>
        <v/>
      </c>
      <c r="I23" s="20" t="n"/>
      <c r="J23" s="57" t="n"/>
      <c r="K23" s="14" t="n"/>
      <c r="L23" s="22" t="n"/>
      <c r="M23" s="58" t="n"/>
      <c r="N23" s="22" t="n"/>
      <c r="O23" s="24">
        <f>IFERROR(IF(OR(M23="",M23=0),0,H23*VALUE(SUBSTITUTE(M23&amp;"","$",""))),0)</f>
        <v/>
      </c>
    </row>
    <row r="24" outlineLevel="1" ht="16" customHeight="1">
      <c r="A24" s="13" t="n"/>
      <c r="B24" s="25" t="n"/>
      <c r="C24" s="26" t="n"/>
      <c r="D24" s="56" t="n"/>
      <c r="E24" s="56" t="n"/>
      <c r="F24" s="27" t="n"/>
      <c r="G24" s="18">
        <f>IF(D24="Tandem",10,IF(D24="TT",22,IF(D24="Quad",25,"")))</f>
        <v/>
      </c>
      <c r="H24" s="28">
        <f>IFERROR(IF(F24*G24=0,0,F24*G24),0)</f>
        <v/>
      </c>
      <c r="I24" s="29" t="n"/>
      <c r="J24" s="57" t="n"/>
      <c r="K24" s="25" t="n"/>
      <c r="L24" s="30" t="n"/>
      <c r="M24" s="58" t="n"/>
      <c r="N24" s="30" t="n"/>
      <c r="O24" s="24">
        <f>IFERROR(IF(OR(M24="",M24=0),0,H24*VALUE(SUBSTITUTE(M24&amp;"","$",""))),0)</f>
        <v/>
      </c>
    </row>
    <row r="25" outlineLevel="1" ht="16" customHeight="1">
      <c r="A25" s="13" t="n"/>
      <c r="B25" s="14" t="n"/>
      <c r="C25" s="15" t="n"/>
      <c r="D25" s="56" t="n"/>
      <c r="E25" s="56" t="n"/>
      <c r="F25" s="17" t="n"/>
      <c r="G25" s="18">
        <f>IF(D25="Tandem",10,IF(D25="TT",22,IF(D25="Quad",25,"")))</f>
        <v/>
      </c>
      <c r="H25" s="19">
        <f>IFERROR(IF(F25*G25=0,0,F25*G25),0)</f>
        <v/>
      </c>
      <c r="I25" s="20" t="n"/>
      <c r="J25" s="57" t="n"/>
      <c r="K25" s="14" t="n"/>
      <c r="L25" s="22" t="n"/>
      <c r="M25" s="58" t="n"/>
      <c r="N25" s="22" t="n"/>
      <c r="O25" s="24">
        <f>IFERROR(IF(OR(M25="",M25=0),0,H25*VALUE(SUBSTITUTE(M25&amp;"","$",""))),0)</f>
        <v/>
      </c>
    </row>
    <row r="26" outlineLevel="1" ht="16" customHeight="1">
      <c r="A26" s="13" t="n"/>
      <c r="B26" s="25" t="n"/>
      <c r="C26" s="26" t="n"/>
      <c r="D26" s="56" t="n"/>
      <c r="E26" s="56" t="n"/>
      <c r="F26" s="27" t="n"/>
      <c r="G26" s="18">
        <f>IF(D26="Tandem",10,IF(D26="TT",22,IF(D26="Quad",25,"")))</f>
        <v/>
      </c>
      <c r="H26" s="28">
        <f>IFERROR(IF(F26*G26=0,0,F26*G26),0)</f>
        <v/>
      </c>
      <c r="I26" s="29" t="n"/>
      <c r="J26" s="57" t="n"/>
      <c r="K26" s="25" t="n"/>
      <c r="L26" s="30" t="n"/>
      <c r="M26" s="58" t="n"/>
      <c r="N26" s="30" t="n"/>
      <c r="O26" s="24">
        <f>IFERROR(IF(OR(M26="",M26=0),0,H26*VALUE(SUBSTITUTE(M26&amp;"","$",""))),0)</f>
        <v/>
      </c>
    </row>
    <row r="27" outlineLevel="1" ht="16" customHeight="1">
      <c r="A27" s="13" t="n"/>
      <c r="B27" s="14" t="n"/>
      <c r="C27" s="15" t="n"/>
      <c r="D27" s="56" t="n"/>
      <c r="E27" s="56" t="n"/>
      <c r="F27" s="17" t="n"/>
      <c r="G27" s="18">
        <f>IF(D27="Tandem",10,IF(D27="TT",22,IF(D27="Quad",25,"")))</f>
        <v/>
      </c>
      <c r="H27" s="19">
        <f>IFERROR(IF(F27*G27=0,0,F27*G27),0)</f>
        <v/>
      </c>
      <c r="I27" s="20" t="n"/>
      <c r="J27" s="57" t="n"/>
      <c r="K27" s="14" t="n"/>
      <c r="L27" s="22" t="n"/>
      <c r="M27" s="58" t="n"/>
      <c r="N27" s="22" t="n"/>
      <c r="O27" s="24">
        <f>IFERROR(IF(OR(M27="",M27=0),0,H27*VALUE(SUBSTITUTE(M27&amp;"","$",""))),0)</f>
        <v/>
      </c>
    </row>
    <row r="28" outlineLevel="1" ht="16" customHeight="1">
      <c r="A28" s="13" t="n"/>
      <c r="B28" s="25" t="n"/>
      <c r="C28" s="26" t="n"/>
      <c r="D28" s="56" t="n"/>
      <c r="E28" s="56" t="n"/>
      <c r="F28" s="27" t="n"/>
      <c r="G28" s="18">
        <f>IF(D28="Tandem",10,IF(D28="TT",22,IF(D28="Quad",25,"")))</f>
        <v/>
      </c>
      <c r="H28" s="28">
        <f>IFERROR(IF(F28*G28=0,0,F28*G28),0)</f>
        <v/>
      </c>
      <c r="I28" s="29" t="n"/>
      <c r="J28" s="57" t="n"/>
      <c r="K28" s="25" t="n"/>
      <c r="L28" s="30" t="n"/>
      <c r="M28" s="58" t="n"/>
      <c r="N28" s="30" t="n"/>
      <c r="O28" s="24">
        <f>IFERROR(IF(OR(M28="",M28=0),0,H28*VALUE(SUBSTITUTE(M28&amp;"","$",""))),0)</f>
        <v/>
      </c>
    </row>
    <row r="29" outlineLevel="1" ht="16" customHeight="1">
      <c r="A29" s="13" t="n"/>
      <c r="B29" s="14" t="n"/>
      <c r="C29" s="15" t="n"/>
      <c r="D29" s="56" t="n"/>
      <c r="E29" s="56" t="n"/>
      <c r="F29" s="17" t="n"/>
      <c r="G29" s="18">
        <f>IF(D29="Tandem",10,IF(D29="TT",22,IF(D29="Quad",25,"")))</f>
        <v/>
      </c>
      <c r="H29" s="19">
        <f>IFERROR(IF(F29*G29=0,0,F29*G29),0)</f>
        <v/>
      </c>
      <c r="I29" s="20" t="n"/>
      <c r="J29" s="57" t="n"/>
      <c r="K29" s="14" t="n"/>
      <c r="L29" s="22" t="n"/>
      <c r="M29" s="58" t="n"/>
      <c r="N29" s="22" t="n"/>
      <c r="O29" s="24">
        <f>IFERROR(IF(OR(M29="",M29=0),0,H29*VALUE(SUBSTITUTE(M29&amp;"","$",""))),0)</f>
        <v/>
      </c>
    </row>
    <row r="30" outlineLevel="1" ht="16" customHeight="1">
      <c r="A30" s="13" t="n"/>
      <c r="B30" s="25" t="n"/>
      <c r="C30" s="26" t="n"/>
      <c r="D30" s="56" t="n"/>
      <c r="E30" s="56" t="n"/>
      <c r="F30" s="27" t="n"/>
      <c r="G30" s="18">
        <f>IF(D30="Tandem",10,IF(D30="TT",22,IF(D30="Quad",25,"")))</f>
        <v/>
      </c>
      <c r="H30" s="28">
        <f>IFERROR(IF(F30*G30=0,0,F30*G30),0)</f>
        <v/>
      </c>
      <c r="I30" s="29" t="n"/>
      <c r="J30" s="57" t="n"/>
      <c r="K30" s="25" t="n"/>
      <c r="L30" s="30" t="n"/>
      <c r="M30" s="58" t="n"/>
      <c r="N30" s="30" t="n"/>
      <c r="O30" s="24">
        <f>IFERROR(IF(OR(M30="",M30=0),0,H30*VALUE(SUBSTITUTE(M30&amp;"","$",""))),0)</f>
        <v/>
      </c>
    </row>
    <row r="31" outlineLevel="1" ht="16" customHeight="1">
      <c r="A31" s="13" t="n"/>
      <c r="B31" s="14" t="n"/>
      <c r="C31" s="15" t="n"/>
      <c r="D31" s="56" t="n"/>
      <c r="E31" s="56" t="n"/>
      <c r="F31" s="17" t="n"/>
      <c r="G31" s="18">
        <f>IF(D31="Tandem",10,IF(D31="TT",22,IF(D31="Quad",25,"")))</f>
        <v/>
      </c>
      <c r="H31" s="19">
        <f>IFERROR(IF(F31*G31=0,0,F31*G31),0)</f>
        <v/>
      </c>
      <c r="I31" s="20" t="n"/>
      <c r="J31" s="57" t="n"/>
      <c r="K31" s="14" t="n"/>
      <c r="L31" s="22" t="n"/>
      <c r="M31" s="58" t="n"/>
      <c r="N31" s="22" t="n"/>
      <c r="O31" s="24">
        <f>IFERROR(IF(OR(M31="",M31=0),0,H31*VALUE(SUBSTITUTE(M31&amp;"","$",""))),0)</f>
        <v/>
      </c>
    </row>
    <row r="32" outlineLevel="1" ht="16" customHeight="1">
      <c r="A32" s="13" t="n"/>
      <c r="B32" s="25" t="n"/>
      <c r="C32" s="26" t="n"/>
      <c r="D32" s="56" t="n"/>
      <c r="E32" s="56" t="n"/>
      <c r="F32" s="27" t="n"/>
      <c r="G32" s="18">
        <f>IF(D32="Tandem",10,IF(D32="TT",22,IF(D32="Quad",25,"")))</f>
        <v/>
      </c>
      <c r="H32" s="28">
        <f>IFERROR(IF(F32*G32=0,0,F32*G32),0)</f>
        <v/>
      </c>
      <c r="I32" s="29" t="n"/>
      <c r="J32" s="57" t="n"/>
      <c r="K32" s="25" t="n"/>
      <c r="L32" s="30" t="n"/>
      <c r="M32" s="58" t="n"/>
      <c r="N32" s="30" t="n"/>
      <c r="O32" s="24">
        <f>IFERROR(IF(OR(M32="",M32=0),0,H32*VALUE(SUBSTITUTE(M32&amp;"","$",""))),0)</f>
        <v/>
      </c>
    </row>
    <row r="33" outlineLevel="1" ht="16" customHeight="1">
      <c r="A33" s="13" t="n"/>
      <c r="B33" s="14" t="n"/>
      <c r="C33" s="15" t="n"/>
      <c r="D33" s="56" t="n"/>
      <c r="E33" s="56" t="n"/>
      <c r="F33" s="17" t="n"/>
      <c r="G33" s="18">
        <f>IF(D33="Tandem",10,IF(D33="TT",22,IF(D33="Quad",25,"")))</f>
        <v/>
      </c>
      <c r="H33" s="19">
        <f>IFERROR(IF(F33*G33=0,0,F33*G33),0)</f>
        <v/>
      </c>
      <c r="I33" s="20" t="n"/>
      <c r="J33" s="57" t="n"/>
      <c r="K33" s="14" t="n"/>
      <c r="L33" s="22" t="n"/>
      <c r="M33" s="58" t="n"/>
      <c r="N33" s="22" t="n"/>
      <c r="O33" s="24">
        <f>IFERROR(IF(OR(M33="",M33=0),0,H33*VALUE(SUBSTITUTE(M33&amp;"","$",""))),0)</f>
        <v/>
      </c>
    </row>
    <row r="34" outlineLevel="1" ht="16" customHeight="1">
      <c r="A34" s="13" t="n"/>
      <c r="B34" s="25" t="n"/>
      <c r="C34" s="26" t="n"/>
      <c r="D34" s="56" t="n"/>
      <c r="E34" s="56" t="n"/>
      <c r="F34" s="27" t="n"/>
      <c r="G34" s="18">
        <f>IF(D34="Tandem",10,IF(D34="TT",22,IF(D34="Quad",25,"")))</f>
        <v/>
      </c>
      <c r="H34" s="28">
        <f>IFERROR(IF(F34*G34=0,0,F34*G34),0)</f>
        <v/>
      </c>
      <c r="I34" s="29" t="n"/>
      <c r="J34" s="57" t="n"/>
      <c r="K34" s="25" t="n"/>
      <c r="L34" s="30" t="n"/>
      <c r="M34" s="58" t="n"/>
      <c r="N34" s="30" t="n"/>
      <c r="O34" s="24">
        <f>IFERROR(IF(OR(M34="",M34=0),0,H34*VALUE(SUBSTITUTE(M34&amp;"","$",""))),0)</f>
        <v/>
      </c>
    </row>
    <row r="35" outlineLevel="1" ht="16" customHeight="1">
      <c r="A35" s="13" t="n"/>
      <c r="B35" s="14" t="n"/>
      <c r="C35" s="15" t="n"/>
      <c r="D35" s="56" t="n"/>
      <c r="E35" s="56" t="n"/>
      <c r="F35" s="17" t="n"/>
      <c r="G35" s="18">
        <f>IF(D35="Tandem",10,IF(D35="TT",22,IF(D35="Quad",25,"")))</f>
        <v/>
      </c>
      <c r="H35" s="19">
        <f>IFERROR(IF(F35*G35=0,0,F35*G35),0)</f>
        <v/>
      </c>
      <c r="I35" s="20" t="n"/>
      <c r="J35" s="57" t="n"/>
      <c r="K35" s="14" t="n"/>
      <c r="L35" s="22" t="n"/>
      <c r="M35" s="58" t="n"/>
      <c r="N35" s="22" t="n"/>
      <c r="O35" s="24">
        <f>IFERROR(IF(OR(M35="",M35=0),0,H35*VALUE(SUBSTITUTE(M35&amp;"","$",""))),0)</f>
        <v/>
      </c>
    </row>
    <row r="36" outlineLevel="1" ht="16" customHeight="1">
      <c r="A36" s="13" t="n"/>
      <c r="B36" s="25" t="n"/>
      <c r="C36" s="26" t="n"/>
      <c r="D36" s="56" t="n"/>
      <c r="E36" s="56" t="n"/>
      <c r="F36" s="27" t="n"/>
      <c r="G36" s="18">
        <f>IF(D36="Tandem",10,IF(D36="TT",22,IF(D36="Quad",25,"")))</f>
        <v/>
      </c>
      <c r="H36" s="28">
        <f>IFERROR(IF(F36*G36=0,0,F36*G36),0)</f>
        <v/>
      </c>
      <c r="I36" s="29" t="n"/>
      <c r="J36" s="57" t="n"/>
      <c r="K36" s="25" t="n"/>
      <c r="L36" s="30" t="n"/>
      <c r="M36" s="58" t="n"/>
      <c r="N36" s="30" t="n"/>
      <c r="O36" s="24">
        <f>IFERROR(IF(OR(M36="",M36=0),0,H36*VALUE(SUBSTITUTE(M36&amp;"","$",""))),0)</f>
        <v/>
      </c>
    </row>
    <row r="37" outlineLevel="1" ht="16" customHeight="1">
      <c r="A37" s="13" t="n"/>
      <c r="B37" s="14" t="n"/>
      <c r="C37" s="15" t="n"/>
      <c r="D37" s="56" t="n"/>
      <c r="E37" s="56" t="n"/>
      <c r="F37" s="17" t="n"/>
      <c r="G37" s="18">
        <f>IF(D37="Tandem",10,IF(D37="TT",22,IF(D37="Quad",25,"")))</f>
        <v/>
      </c>
      <c r="H37" s="19">
        <f>IFERROR(IF(F37*G37=0,0,F37*G37),0)</f>
        <v/>
      </c>
      <c r="I37" s="20" t="n"/>
      <c r="J37" s="57" t="n"/>
      <c r="K37" s="14" t="n"/>
      <c r="L37" s="22" t="n"/>
      <c r="M37" s="58" t="n"/>
      <c r="N37" s="22" t="n"/>
      <c r="O37" s="24">
        <f>IFERROR(IF(OR(M37="",M37=0),0,H37*VALUE(SUBSTITUTE(M37&amp;"","$",""))),0)</f>
        <v/>
      </c>
    </row>
    <row r="38" outlineLevel="1" ht="16" customHeight="1">
      <c r="A38" s="13" t="n"/>
      <c r="B38" s="25" t="n"/>
      <c r="C38" s="26" t="n"/>
      <c r="D38" s="56" t="n"/>
      <c r="E38" s="56" t="n"/>
      <c r="F38" s="27" t="n"/>
      <c r="G38" s="18">
        <f>IF(D38="Tandem",10,IF(D38="TT",22,IF(D38="Quad",25,"")))</f>
        <v/>
      </c>
      <c r="H38" s="28">
        <f>IFERROR(IF(F38*G38=0,0,F38*G38),0)</f>
        <v/>
      </c>
      <c r="I38" s="29" t="n"/>
      <c r="J38" s="57" t="n"/>
      <c r="K38" s="25" t="n"/>
      <c r="L38" s="30" t="n"/>
      <c r="M38" s="58" t="n"/>
      <c r="N38" s="30" t="n"/>
      <c r="O38" s="24">
        <f>IFERROR(IF(OR(M38="",M38=0),0,H38*VALUE(SUBSTITUTE(M38&amp;"","$",""))),0)</f>
        <v/>
      </c>
    </row>
    <row r="39" outlineLevel="1" ht="16" customHeight="1">
      <c r="A39" s="13" t="n"/>
      <c r="B39" s="14" t="n"/>
      <c r="C39" s="15" t="n"/>
      <c r="D39" s="56" t="n"/>
      <c r="E39" s="56" t="n"/>
      <c r="F39" s="17" t="n"/>
      <c r="G39" s="18">
        <f>IF(D39="Tandem",10,IF(D39="TT",22,IF(D39="Quad",25,"")))</f>
        <v/>
      </c>
      <c r="H39" s="19">
        <f>IFERROR(IF(F39*G39=0,0,F39*G39),0)</f>
        <v/>
      </c>
      <c r="I39" s="20" t="n"/>
      <c r="J39" s="57" t="n"/>
      <c r="K39" s="14" t="n"/>
      <c r="L39" s="22" t="n"/>
      <c r="M39" s="58" t="n"/>
      <c r="N39" s="22" t="n"/>
      <c r="O39" s="24">
        <f>IFERROR(IF(OR(M39="",M39=0),0,H39*VALUE(SUBSTITUTE(M39&amp;"","$",""))),0)</f>
        <v/>
      </c>
    </row>
    <row r="40" outlineLevel="1" ht="16" customHeight="1">
      <c r="A40" s="13" t="n"/>
      <c r="B40" s="25" t="n"/>
      <c r="C40" s="26" t="n"/>
      <c r="D40" s="56" t="n"/>
      <c r="E40" s="56" t="n"/>
      <c r="F40" s="27" t="n"/>
      <c r="G40" s="18">
        <f>IF(D40="Tandem",10,IF(D40="TT",22,IF(D40="Quad",25,"")))</f>
        <v/>
      </c>
      <c r="H40" s="28">
        <f>IFERROR(IF(F40*G40=0,0,F40*G40),0)</f>
        <v/>
      </c>
      <c r="I40" s="29" t="n"/>
      <c r="J40" s="57" t="n"/>
      <c r="K40" s="25" t="n"/>
      <c r="L40" s="30" t="n"/>
      <c r="M40" s="58" t="n"/>
      <c r="N40" s="30" t="n"/>
      <c r="O40" s="24">
        <f>IFERROR(IF(OR(M40="",M40=0),0,H40*VALUE(SUBSTITUTE(M40&amp;"","$",""))),0)</f>
        <v/>
      </c>
    </row>
    <row r="41" outlineLevel="1" ht="16" customHeight="1">
      <c r="A41" s="13" t="n"/>
      <c r="B41" s="14" t="n"/>
      <c r="C41" s="15" t="n"/>
      <c r="D41" s="56" t="n"/>
      <c r="E41" s="56" t="n"/>
      <c r="F41" s="17" t="n"/>
      <c r="G41" s="18">
        <f>IF(D41="Tandem",10,IF(D41="TT",22,IF(D41="Quad",25,"")))</f>
        <v/>
      </c>
      <c r="H41" s="19">
        <f>IFERROR(IF(F41*G41=0,0,F41*G41),0)</f>
        <v/>
      </c>
      <c r="I41" s="20" t="n"/>
      <c r="J41" s="57" t="n"/>
      <c r="K41" s="14" t="n"/>
      <c r="L41" s="22" t="n"/>
      <c r="M41" s="58" t="n"/>
      <c r="N41" s="22" t="n"/>
      <c r="O41" s="24">
        <f>IFERROR(IF(OR(M41="",M41=0),0,H41*VALUE(SUBSTITUTE(M41&amp;"","$",""))),0)</f>
        <v/>
      </c>
    </row>
    <row r="42" outlineLevel="1" ht="16" customHeight="1">
      <c r="A42" s="13" t="n"/>
      <c r="B42" s="25" t="n"/>
      <c r="C42" s="26" t="n"/>
      <c r="D42" s="56" t="n"/>
      <c r="E42" s="56" t="n"/>
      <c r="F42" s="27" t="n"/>
      <c r="G42" s="18">
        <f>IF(D42="Tandem",10,IF(D42="TT",22,IF(D42="Quad",25,"")))</f>
        <v/>
      </c>
      <c r="H42" s="28">
        <f>IFERROR(IF(F42*G42=0,0,F42*G42),0)</f>
        <v/>
      </c>
      <c r="I42" s="29" t="n"/>
      <c r="J42" s="57" t="n"/>
      <c r="K42" s="25" t="n"/>
      <c r="L42" s="30" t="n"/>
      <c r="M42" s="58" t="n"/>
      <c r="N42" s="30" t="n"/>
      <c r="O42" s="24">
        <f>IFERROR(IF(OR(M42="",M42=0),0,H42*VALUE(SUBSTITUTE(M42&amp;"","$",""))),0)</f>
        <v/>
      </c>
    </row>
    <row r="43" outlineLevel="1" ht="16" customHeight="1">
      <c r="A43" s="13" t="n"/>
      <c r="B43" s="14" t="n"/>
      <c r="C43" s="15" t="n"/>
      <c r="D43" s="56" t="n"/>
      <c r="E43" s="56" t="n"/>
      <c r="F43" s="17" t="n"/>
      <c r="G43" s="18">
        <f>IF(D43="Tandem",10,IF(D43="TT",22,IF(D43="Quad",25,"")))</f>
        <v/>
      </c>
      <c r="H43" s="19">
        <f>IFERROR(IF(F43*G43=0,0,F43*G43),0)</f>
        <v/>
      </c>
      <c r="I43" s="20" t="n"/>
      <c r="J43" s="57" t="n"/>
      <c r="K43" s="14" t="n"/>
      <c r="L43" s="22" t="n"/>
      <c r="M43" s="58" t="n"/>
      <c r="N43" s="22" t="n"/>
      <c r="O43" s="24">
        <f>IFERROR(IF(OR(M43="",M43=0),0,H43*VALUE(SUBSTITUTE(M43&amp;"","$",""))),0)</f>
        <v/>
      </c>
    </row>
    <row r="44" outlineLevel="1" ht="16" customHeight="1">
      <c r="A44" s="13" t="n"/>
      <c r="B44" s="25" t="n"/>
      <c r="C44" s="26" t="n"/>
      <c r="D44" s="56" t="n"/>
      <c r="E44" s="56" t="n"/>
      <c r="F44" s="27" t="n"/>
      <c r="G44" s="18">
        <f>IF(D44="Tandem",10,IF(D44="TT",22,IF(D44="Quad",25,"")))</f>
        <v/>
      </c>
      <c r="H44" s="28">
        <f>IFERROR(IF(F44*G44=0,0,F44*G44),0)</f>
        <v/>
      </c>
      <c r="I44" s="29" t="n"/>
      <c r="J44" s="57" t="n"/>
      <c r="K44" s="25" t="n"/>
      <c r="L44" s="30" t="n"/>
      <c r="M44" s="58" t="n"/>
      <c r="N44" s="30" t="n"/>
      <c r="O44" s="24">
        <f>IFERROR(IF(OR(M44="",M44=0),0,H44*VALUE(SUBSTITUTE(M44&amp;"","$",""))),0)</f>
        <v/>
      </c>
    </row>
    <row r="45" outlineLevel="1" ht="16" customHeight="1">
      <c r="A45" s="13" t="n"/>
      <c r="B45" s="14" t="n"/>
      <c r="C45" s="15" t="n"/>
      <c r="D45" s="56" t="n"/>
      <c r="E45" s="56" t="n"/>
      <c r="F45" s="17" t="n"/>
      <c r="G45" s="18">
        <f>IF(D45="Tandem",10,IF(D45="TT",22,IF(D45="Quad",25,"")))</f>
        <v/>
      </c>
      <c r="H45" s="19">
        <f>IFERROR(IF(F45*G45=0,0,F45*G45),0)</f>
        <v/>
      </c>
      <c r="I45" s="20" t="n"/>
      <c r="J45" s="57" t="n"/>
      <c r="K45" s="14" t="n"/>
      <c r="L45" s="22" t="n"/>
      <c r="M45" s="58" t="n"/>
      <c r="N45" s="22" t="n"/>
      <c r="O45" s="24">
        <f>IFERROR(IF(OR(M45="",M45=0),0,H45*VALUE(SUBSTITUTE(M45&amp;"","$",""))),0)</f>
        <v/>
      </c>
    </row>
    <row r="46" outlineLevel="1" ht="16" customHeight="1">
      <c r="A46" s="13" t="n"/>
      <c r="B46" s="25" t="n"/>
      <c r="C46" s="26" t="n"/>
      <c r="D46" s="56" t="n"/>
      <c r="E46" s="56" t="n"/>
      <c r="F46" s="27" t="n"/>
      <c r="G46" s="18">
        <f>IF(D46="Tandem",10,IF(D46="TT",22,IF(D46="Quad",25,"")))</f>
        <v/>
      </c>
      <c r="H46" s="28">
        <f>IFERROR(IF(F46*G46=0,0,F46*G46),0)</f>
        <v/>
      </c>
      <c r="I46" s="29" t="n"/>
      <c r="J46" s="57" t="n"/>
      <c r="K46" s="25" t="n"/>
      <c r="L46" s="30" t="n"/>
      <c r="M46" s="58" t="n"/>
      <c r="N46" s="30" t="n"/>
      <c r="O46" s="24">
        <f>IFERROR(IF(OR(M46="",M46=0),0,H46*VALUE(SUBSTITUTE(M46&amp;"","$",""))),0)</f>
        <v/>
      </c>
    </row>
    <row r="47" outlineLevel="1" ht="16" customHeight="1">
      <c r="A47" s="13" t="n"/>
      <c r="B47" s="14" t="n"/>
      <c r="C47" s="15" t="n"/>
      <c r="D47" s="56" t="n"/>
      <c r="E47" s="56" t="n"/>
      <c r="F47" s="17" t="n"/>
      <c r="G47" s="18">
        <f>IF(D47="Tandem",10,IF(D47="TT",22,IF(D47="Quad",25,"")))</f>
        <v/>
      </c>
      <c r="H47" s="19">
        <f>IFERROR(IF(F47*G47=0,0,F47*G47),0)</f>
        <v/>
      </c>
      <c r="I47" s="20" t="n"/>
      <c r="J47" s="57" t="n"/>
      <c r="K47" s="14" t="n"/>
      <c r="L47" s="22" t="n"/>
      <c r="M47" s="58" t="n"/>
      <c r="N47" s="22" t="n"/>
      <c r="O47" s="24">
        <f>IFERROR(IF(OR(M47="",M47=0),0,H47*VALUE(SUBSTITUTE(M47&amp;"","$",""))),0)</f>
        <v/>
      </c>
    </row>
    <row r="48" outlineLevel="1" ht="16" customHeight="1">
      <c r="A48" s="13" t="n"/>
      <c r="B48" s="25" t="n"/>
      <c r="C48" s="26" t="n"/>
      <c r="D48" s="56" t="n"/>
      <c r="E48" s="56" t="n"/>
      <c r="F48" s="27" t="n"/>
      <c r="G48" s="18">
        <f>IF(D48="Tandem",10,IF(D48="TT",22,IF(D48="Quad",25,"")))</f>
        <v/>
      </c>
      <c r="H48" s="28">
        <f>IFERROR(IF(F48*G48=0,0,F48*G48),0)</f>
        <v/>
      </c>
      <c r="I48" s="29" t="n"/>
      <c r="J48" s="57" t="n"/>
      <c r="K48" s="25" t="n"/>
      <c r="L48" s="30" t="n"/>
      <c r="M48" s="58" t="n"/>
      <c r="N48" s="30" t="n"/>
      <c r="O48" s="24">
        <f>IFERROR(IF(OR(M48="",M48=0),0,H48*VALUE(SUBSTITUTE(M48&amp;"","$",""))),0)</f>
        <v/>
      </c>
    </row>
    <row r="49" outlineLevel="1" ht="20" customHeight="1">
      <c r="A49" s="59" t="inlineStr">
        <is>
          <t>Daily Notes:</t>
        </is>
      </c>
      <c r="B49" s="54" t="n"/>
      <c r="C49" s="54" t="n"/>
      <c r="D49" s="54" t="n"/>
      <c r="E49" s="54" t="n"/>
      <c r="F49" s="54" t="n"/>
      <c r="G49" s="54" t="n"/>
      <c r="H49" s="54" t="n"/>
      <c r="I49" s="54" t="n"/>
      <c r="J49" s="54" t="n"/>
      <c r="K49" s="54" t="n"/>
      <c r="L49" s="54" t="n"/>
      <c r="M49" s="54" t="n"/>
      <c r="N49" s="50" t="n"/>
      <c r="O49" s="60" t="n"/>
    </row>
    <row r="50" outlineLevel="1" ht="18" customHeight="1">
      <c r="A50" s="32" t="inlineStr">
        <is>
          <t>DAILY TOTAL</t>
        </is>
      </c>
      <c r="B50" s="54" t="n"/>
      <c r="C50" s="54" t="n"/>
      <c r="D50" s="54" t="n"/>
      <c r="E50" s="54" t="n"/>
      <c r="F50" s="54" t="n"/>
      <c r="G50" s="50" t="n"/>
      <c r="H50" s="34">
        <f>SUM(H19:H48)</f>
        <v/>
      </c>
      <c r="I50" s="35">
        <f>SUM(I19:I48)</f>
        <v/>
      </c>
      <c r="J50" s="61" t="n"/>
      <c r="K50" s="61" t="n"/>
      <c r="L50" s="61" t="n"/>
      <c r="M50" s="36">
        <f>SUM(O19:O48)</f>
        <v/>
      </c>
      <c r="N50" s="61" t="n"/>
      <c r="O50" s="62" t="n"/>
    </row>
    <row r="51" outlineLevel="1" ht="18" customHeight="1">
      <c r="A51" s="2" t="inlineStr">
        <is>
          <t>▶ RUNNING TOTAL</t>
        </is>
      </c>
      <c r="B51" s="54" t="n"/>
      <c r="C51" s="54" t="n"/>
      <c r="D51" s="54" t="n"/>
      <c r="E51" s="54" t="n"/>
      <c r="F51" s="54" t="n"/>
      <c r="G51" s="50" t="n"/>
      <c r="H51" s="37">
        <f>H50</f>
        <v/>
      </c>
      <c r="I51" s="63" t="n"/>
      <c r="J51" s="63" t="n"/>
      <c r="K51" s="63" t="n"/>
      <c r="L51" s="63" t="n"/>
      <c r="M51" s="38">
        <f>M50</f>
        <v/>
      </c>
      <c r="N51" s="63" t="n"/>
      <c r="O51" s="64" t="n"/>
    </row>
    <row r="52" outlineLevel="1" ht="8" customHeight="1"/>
    <row r="53" ht="22" customHeight="1">
      <c r="A53" s="55" t="inlineStr">
        <is>
          <t>DAY 2</t>
        </is>
      </c>
      <c r="B53" s="54" t="n"/>
      <c r="C53" s="54" t="n"/>
      <c r="D53" s="54" t="n"/>
      <c r="E53" s="54" t="n"/>
      <c r="F53" s="54" t="n"/>
      <c r="G53" s="54" t="n"/>
      <c r="H53" s="54" t="n"/>
      <c r="I53" s="54" t="n"/>
      <c r="J53" s="54" t="n"/>
      <c r="K53" s="54" t="n"/>
      <c r="L53" s="54" t="n"/>
      <c r="M53" s="54" t="n"/>
      <c r="N53" s="50" t="n"/>
    </row>
    <row r="54" outlineLevel="1" ht="28" customHeight="1">
      <c r="A54" s="12" t="inlineStr">
        <is>
          <t>Date</t>
        </is>
      </c>
      <c r="B54" s="12" t="inlineStr">
        <is>
          <t>Cartage Company</t>
        </is>
      </c>
      <c r="C54" s="12" t="inlineStr">
        <is>
          <t>Truck Rego</t>
        </is>
      </c>
      <c r="D54" s="12" t="inlineStr">
        <is>
          <t>Truck Type</t>
        </is>
      </c>
      <c r="E54" s="12" t="inlineStr">
        <is>
          <t>Exp / Imp</t>
        </is>
      </c>
      <c r="F54" s="12" t="inlineStr">
        <is>
          <t>Loads</t>
        </is>
      </c>
      <c r="G54" s="12" t="inlineStr">
        <is>
          <t>m³ / Load</t>
        </is>
      </c>
      <c r="H54" s="12" t="inlineStr">
        <is>
          <t>Total m³</t>
        </is>
      </c>
      <c r="I54" s="12" t="inlineStr">
        <is>
          <t>Hours</t>
        </is>
      </c>
      <c r="J54" s="12" t="inlineStr">
        <is>
          <t>Material</t>
        </is>
      </c>
      <c r="K54" s="12" t="inlineStr">
        <is>
          <t>Tip Site</t>
        </is>
      </c>
      <c r="L54" s="12" t="inlineStr">
        <is>
          <t>Docket #</t>
        </is>
      </c>
      <c r="M54" s="12" t="inlineStr">
        <is>
          <t>Rate Paid ($/m³)</t>
        </is>
      </c>
      <c r="N54" s="12" t="inlineStr">
        <is>
          <t>Invoice #</t>
        </is>
      </c>
    </row>
    <row r="55" outlineLevel="1" ht="16" customHeight="1">
      <c r="A55" s="13" t="n"/>
      <c r="B55" s="14" t="n"/>
      <c r="C55" s="15" t="n"/>
      <c r="D55" s="56" t="n"/>
      <c r="E55" s="56" t="n"/>
      <c r="F55" s="17" t="n"/>
      <c r="G55" s="18">
        <f>IF(D55="Tandem",10,IF(D55="TT",22,IF(D55="Quad",25,"")))</f>
        <v/>
      </c>
      <c r="H55" s="19">
        <f>IFERROR(IF(F55*G55=0,0,F55*G55),0)</f>
        <v/>
      </c>
      <c r="I55" s="20" t="n"/>
      <c r="J55" s="57" t="n"/>
      <c r="K55" s="14" t="n"/>
      <c r="L55" s="22" t="n"/>
      <c r="M55" s="58" t="n"/>
      <c r="N55" s="22" t="n"/>
      <c r="O55" s="24">
        <f>IFERROR(IF(OR(M55="",M55=0),0,H55*VALUE(SUBSTITUTE(M55&amp;"","$",""))),0)</f>
        <v/>
      </c>
    </row>
    <row r="56" outlineLevel="1" ht="16" customHeight="1">
      <c r="A56" s="13" t="n"/>
      <c r="B56" s="25" t="n"/>
      <c r="C56" s="26" t="n"/>
      <c r="D56" s="56" t="n"/>
      <c r="E56" s="56" t="n"/>
      <c r="F56" s="27" t="n"/>
      <c r="G56" s="18">
        <f>IF(D56="Tandem",10,IF(D56="TT",22,IF(D56="Quad",25,"")))</f>
        <v/>
      </c>
      <c r="H56" s="28">
        <f>IFERROR(IF(F56*G56=0,0,F56*G56),0)</f>
        <v/>
      </c>
      <c r="I56" s="29" t="n"/>
      <c r="J56" s="57" t="n"/>
      <c r="K56" s="25" t="n"/>
      <c r="L56" s="30" t="n"/>
      <c r="M56" s="58" t="n"/>
      <c r="N56" s="30" t="n"/>
      <c r="O56" s="24">
        <f>IFERROR(IF(OR(M56="",M56=0),0,H56*VALUE(SUBSTITUTE(M56&amp;"","$",""))),0)</f>
        <v/>
      </c>
    </row>
    <row r="57" outlineLevel="1" ht="16" customHeight="1">
      <c r="A57" s="13" t="n"/>
      <c r="B57" s="14" t="n"/>
      <c r="C57" s="15" t="n"/>
      <c r="D57" s="56" t="n"/>
      <c r="E57" s="56" t="n"/>
      <c r="F57" s="17" t="n"/>
      <c r="G57" s="18">
        <f>IF(D57="Tandem",10,IF(D57="TT",22,IF(D57="Quad",25,"")))</f>
        <v/>
      </c>
      <c r="H57" s="19">
        <f>IFERROR(IF(F57*G57=0,0,F57*G57),0)</f>
        <v/>
      </c>
      <c r="I57" s="20" t="n"/>
      <c r="J57" s="57" t="n"/>
      <c r="K57" s="14" t="n"/>
      <c r="L57" s="22" t="n"/>
      <c r="M57" s="58" t="n"/>
      <c r="N57" s="22" t="n"/>
      <c r="O57" s="24">
        <f>IFERROR(IF(OR(M57="",M57=0),0,H57*VALUE(SUBSTITUTE(M57&amp;"","$",""))),0)</f>
        <v/>
      </c>
    </row>
    <row r="58" outlineLevel="1" ht="16" customHeight="1">
      <c r="A58" s="13" t="n"/>
      <c r="B58" s="25" t="n"/>
      <c r="C58" s="26" t="n"/>
      <c r="D58" s="56" t="n"/>
      <c r="E58" s="56" t="n"/>
      <c r="F58" s="27" t="n"/>
      <c r="G58" s="18">
        <f>IF(D58="Tandem",10,IF(D58="TT",22,IF(D58="Quad",25,"")))</f>
        <v/>
      </c>
      <c r="H58" s="28">
        <f>IFERROR(IF(F58*G58=0,0,F58*G58),0)</f>
        <v/>
      </c>
      <c r="I58" s="29" t="n"/>
      <c r="J58" s="57" t="n"/>
      <c r="K58" s="25" t="n"/>
      <c r="L58" s="30" t="n"/>
      <c r="M58" s="58" t="n"/>
      <c r="N58" s="30" t="n"/>
      <c r="O58" s="24">
        <f>IFERROR(IF(OR(M58="",M58=0),0,H58*VALUE(SUBSTITUTE(M58&amp;"","$",""))),0)</f>
        <v/>
      </c>
    </row>
    <row r="59" outlineLevel="1" ht="16" customHeight="1">
      <c r="A59" s="13" t="n"/>
      <c r="B59" s="14" t="n"/>
      <c r="C59" s="15" t="n"/>
      <c r="D59" s="56" t="n"/>
      <c r="E59" s="56" t="n"/>
      <c r="F59" s="17" t="n"/>
      <c r="G59" s="18">
        <f>IF(D59="Tandem",10,IF(D59="TT",22,IF(D59="Quad",25,"")))</f>
        <v/>
      </c>
      <c r="H59" s="19">
        <f>IFERROR(IF(F59*G59=0,0,F59*G59),0)</f>
        <v/>
      </c>
      <c r="I59" s="20" t="n"/>
      <c r="J59" s="57" t="n"/>
      <c r="K59" s="14" t="n"/>
      <c r="L59" s="22" t="n"/>
      <c r="M59" s="58" t="n"/>
      <c r="N59" s="22" t="n"/>
      <c r="O59" s="24">
        <f>IFERROR(IF(OR(M59="",M59=0),0,H59*VALUE(SUBSTITUTE(M59&amp;"","$",""))),0)</f>
        <v/>
      </c>
    </row>
    <row r="60" outlineLevel="1" ht="16" customHeight="1">
      <c r="A60" s="13" t="n"/>
      <c r="B60" s="25" t="n"/>
      <c r="C60" s="26" t="n"/>
      <c r="D60" s="56" t="n"/>
      <c r="E60" s="56" t="n"/>
      <c r="F60" s="27" t="n"/>
      <c r="G60" s="18">
        <f>IF(D60="Tandem",10,IF(D60="TT",22,IF(D60="Quad",25,"")))</f>
        <v/>
      </c>
      <c r="H60" s="28">
        <f>IFERROR(IF(F60*G60=0,0,F60*G60),0)</f>
        <v/>
      </c>
      <c r="I60" s="29" t="n"/>
      <c r="J60" s="57" t="n"/>
      <c r="K60" s="25" t="n"/>
      <c r="L60" s="30" t="n"/>
      <c r="M60" s="58" t="n"/>
      <c r="N60" s="30" t="n"/>
      <c r="O60" s="24">
        <f>IFERROR(IF(OR(M60="",M60=0),0,H60*VALUE(SUBSTITUTE(M60&amp;"","$",""))),0)</f>
        <v/>
      </c>
    </row>
    <row r="61" outlineLevel="1" ht="16" customHeight="1">
      <c r="A61" s="13" t="n"/>
      <c r="B61" s="14" t="n"/>
      <c r="C61" s="15" t="n"/>
      <c r="D61" s="56" t="n"/>
      <c r="E61" s="56" t="n"/>
      <c r="F61" s="17" t="n"/>
      <c r="G61" s="18">
        <f>IF(D61="Tandem",10,IF(D61="TT",22,IF(D61="Quad",25,"")))</f>
        <v/>
      </c>
      <c r="H61" s="19">
        <f>IFERROR(IF(F61*G61=0,0,F61*G61),0)</f>
        <v/>
      </c>
      <c r="I61" s="20" t="n"/>
      <c r="J61" s="57" t="n"/>
      <c r="K61" s="14" t="n"/>
      <c r="L61" s="22" t="n"/>
      <c r="M61" s="58" t="n"/>
      <c r="N61" s="22" t="n"/>
      <c r="O61" s="24">
        <f>IFERROR(IF(OR(M61="",M61=0),0,H61*VALUE(SUBSTITUTE(M61&amp;"","$",""))),0)</f>
        <v/>
      </c>
    </row>
    <row r="62" outlineLevel="1" ht="16" customHeight="1">
      <c r="A62" s="13" t="n"/>
      <c r="B62" s="25" t="n"/>
      <c r="C62" s="26" t="n"/>
      <c r="D62" s="56" t="n"/>
      <c r="E62" s="56" t="n"/>
      <c r="F62" s="27" t="n"/>
      <c r="G62" s="18">
        <f>IF(D62="Tandem",10,IF(D62="TT",22,IF(D62="Quad",25,"")))</f>
        <v/>
      </c>
      <c r="H62" s="28">
        <f>IFERROR(IF(F62*G62=0,0,F62*G62),0)</f>
        <v/>
      </c>
      <c r="I62" s="29" t="n"/>
      <c r="J62" s="57" t="n"/>
      <c r="K62" s="25" t="n"/>
      <c r="L62" s="30" t="n"/>
      <c r="M62" s="58" t="n"/>
      <c r="N62" s="30" t="n"/>
      <c r="O62" s="24">
        <f>IFERROR(IF(OR(M62="",M62=0),0,H62*VALUE(SUBSTITUTE(M62&amp;"","$",""))),0)</f>
        <v/>
      </c>
    </row>
    <row r="63" outlineLevel="1" ht="16" customHeight="1">
      <c r="A63" s="13" t="n"/>
      <c r="B63" s="14" t="n"/>
      <c r="C63" s="15" t="n"/>
      <c r="D63" s="56" t="n"/>
      <c r="E63" s="56" t="n"/>
      <c r="F63" s="17" t="n"/>
      <c r="G63" s="18">
        <f>IF(D63="Tandem",10,IF(D63="TT",22,IF(D63="Quad",25,"")))</f>
        <v/>
      </c>
      <c r="H63" s="19">
        <f>IFERROR(IF(F63*G63=0,0,F63*G63),0)</f>
        <v/>
      </c>
      <c r="I63" s="20" t="n"/>
      <c r="J63" s="57" t="n"/>
      <c r="K63" s="14" t="n"/>
      <c r="L63" s="22" t="n"/>
      <c r="M63" s="58" t="n"/>
      <c r="N63" s="22" t="n"/>
      <c r="O63" s="24">
        <f>IFERROR(IF(OR(M63="",M63=0),0,H63*VALUE(SUBSTITUTE(M63&amp;"","$",""))),0)</f>
        <v/>
      </c>
    </row>
    <row r="64" outlineLevel="1" ht="16" customHeight="1">
      <c r="A64" s="13" t="n"/>
      <c r="B64" s="25" t="n"/>
      <c r="C64" s="26" t="n"/>
      <c r="D64" s="56" t="n"/>
      <c r="E64" s="56" t="n"/>
      <c r="F64" s="27" t="n"/>
      <c r="G64" s="18">
        <f>IF(D64="Tandem",10,IF(D64="TT",22,IF(D64="Quad",25,"")))</f>
        <v/>
      </c>
      <c r="H64" s="28">
        <f>IFERROR(IF(F64*G64=0,0,F64*G64),0)</f>
        <v/>
      </c>
      <c r="I64" s="29" t="n"/>
      <c r="J64" s="57" t="n"/>
      <c r="K64" s="25" t="n"/>
      <c r="L64" s="30" t="n"/>
      <c r="M64" s="58" t="n"/>
      <c r="N64" s="30" t="n"/>
      <c r="O64" s="24">
        <f>IFERROR(IF(OR(M64="",M64=0),0,H64*VALUE(SUBSTITUTE(M64&amp;"","$",""))),0)</f>
        <v/>
      </c>
    </row>
    <row r="65" outlineLevel="1" ht="16" customHeight="1">
      <c r="A65" s="13" t="n"/>
      <c r="B65" s="14" t="n"/>
      <c r="C65" s="15" t="n"/>
      <c r="D65" s="56" t="n"/>
      <c r="E65" s="56" t="n"/>
      <c r="F65" s="17" t="n"/>
      <c r="G65" s="18">
        <f>IF(D65="Tandem",10,IF(D65="TT",22,IF(D65="Quad",25,"")))</f>
        <v/>
      </c>
      <c r="H65" s="19">
        <f>IFERROR(IF(F65*G65=0,0,F65*G65),0)</f>
        <v/>
      </c>
      <c r="I65" s="20" t="n"/>
      <c r="J65" s="57" t="n"/>
      <c r="K65" s="14" t="n"/>
      <c r="L65" s="22" t="n"/>
      <c r="M65" s="58" t="n"/>
      <c r="N65" s="22" t="n"/>
      <c r="O65" s="24">
        <f>IFERROR(IF(OR(M65="",M65=0),0,H65*VALUE(SUBSTITUTE(M65&amp;"","$",""))),0)</f>
        <v/>
      </c>
    </row>
    <row r="66" outlineLevel="1" ht="16" customHeight="1">
      <c r="A66" s="13" t="n"/>
      <c r="B66" s="25" t="n"/>
      <c r="C66" s="26" t="n"/>
      <c r="D66" s="56" t="n"/>
      <c r="E66" s="56" t="n"/>
      <c r="F66" s="27" t="n"/>
      <c r="G66" s="18">
        <f>IF(D66="Tandem",10,IF(D66="TT",22,IF(D66="Quad",25,"")))</f>
        <v/>
      </c>
      <c r="H66" s="28">
        <f>IFERROR(IF(F66*G66=0,0,F66*G66),0)</f>
        <v/>
      </c>
      <c r="I66" s="29" t="n"/>
      <c r="J66" s="57" t="n"/>
      <c r="K66" s="25" t="n"/>
      <c r="L66" s="30" t="n"/>
      <c r="M66" s="58" t="n"/>
      <c r="N66" s="30" t="n"/>
      <c r="O66" s="24">
        <f>IFERROR(IF(OR(M66="",M66=0),0,H66*VALUE(SUBSTITUTE(M66&amp;"","$",""))),0)</f>
        <v/>
      </c>
    </row>
    <row r="67" outlineLevel="1" ht="16" customHeight="1">
      <c r="A67" s="13" t="n"/>
      <c r="B67" s="14" t="n"/>
      <c r="C67" s="15" t="n"/>
      <c r="D67" s="56" t="n"/>
      <c r="E67" s="56" t="n"/>
      <c r="F67" s="17" t="n"/>
      <c r="G67" s="18">
        <f>IF(D67="Tandem",10,IF(D67="TT",22,IF(D67="Quad",25,"")))</f>
        <v/>
      </c>
      <c r="H67" s="19">
        <f>IFERROR(IF(F67*G67=0,0,F67*G67),0)</f>
        <v/>
      </c>
      <c r="I67" s="20" t="n"/>
      <c r="J67" s="57" t="n"/>
      <c r="K67" s="14" t="n"/>
      <c r="L67" s="22" t="n"/>
      <c r="M67" s="58" t="n"/>
      <c r="N67" s="22" t="n"/>
      <c r="O67" s="24">
        <f>IFERROR(IF(OR(M67="",M67=0),0,H67*VALUE(SUBSTITUTE(M67&amp;"","$",""))),0)</f>
        <v/>
      </c>
    </row>
    <row r="68" outlineLevel="1" ht="16" customHeight="1">
      <c r="A68" s="13" t="n"/>
      <c r="B68" s="25" t="n"/>
      <c r="C68" s="26" t="n"/>
      <c r="D68" s="56" t="n"/>
      <c r="E68" s="56" t="n"/>
      <c r="F68" s="27" t="n"/>
      <c r="G68" s="18">
        <f>IF(D68="Tandem",10,IF(D68="TT",22,IF(D68="Quad",25,"")))</f>
        <v/>
      </c>
      <c r="H68" s="28">
        <f>IFERROR(IF(F68*G68=0,0,F68*G68),0)</f>
        <v/>
      </c>
      <c r="I68" s="29" t="n"/>
      <c r="J68" s="57" t="n"/>
      <c r="K68" s="25" t="n"/>
      <c r="L68" s="30" t="n"/>
      <c r="M68" s="58" t="n"/>
      <c r="N68" s="30" t="n"/>
      <c r="O68" s="24">
        <f>IFERROR(IF(OR(M68="",M68=0),0,H68*VALUE(SUBSTITUTE(M68&amp;"","$",""))),0)</f>
        <v/>
      </c>
    </row>
    <row r="69" outlineLevel="1" ht="16" customHeight="1">
      <c r="A69" s="13" t="n"/>
      <c r="B69" s="14" t="n"/>
      <c r="C69" s="15" t="n"/>
      <c r="D69" s="56" t="n"/>
      <c r="E69" s="56" t="n"/>
      <c r="F69" s="17" t="n"/>
      <c r="G69" s="18">
        <f>IF(D69="Tandem",10,IF(D69="TT",22,IF(D69="Quad",25,"")))</f>
        <v/>
      </c>
      <c r="H69" s="19">
        <f>IFERROR(IF(F69*G69=0,0,F69*G69),0)</f>
        <v/>
      </c>
      <c r="I69" s="20" t="n"/>
      <c r="J69" s="57" t="n"/>
      <c r="K69" s="14" t="n"/>
      <c r="L69" s="22" t="n"/>
      <c r="M69" s="58" t="n"/>
      <c r="N69" s="22" t="n"/>
      <c r="O69" s="24">
        <f>IFERROR(IF(OR(M69="",M69=0),0,H69*VALUE(SUBSTITUTE(M69&amp;"","$",""))),0)</f>
        <v/>
      </c>
    </row>
    <row r="70" outlineLevel="1" ht="16" customHeight="1">
      <c r="A70" s="13" t="n"/>
      <c r="B70" s="25" t="n"/>
      <c r="C70" s="26" t="n"/>
      <c r="D70" s="56" t="n"/>
      <c r="E70" s="56" t="n"/>
      <c r="F70" s="27" t="n"/>
      <c r="G70" s="18">
        <f>IF(D70="Tandem",10,IF(D70="TT",22,IF(D70="Quad",25,"")))</f>
        <v/>
      </c>
      <c r="H70" s="28">
        <f>IFERROR(IF(F70*G70=0,0,F70*G70),0)</f>
        <v/>
      </c>
      <c r="I70" s="29" t="n"/>
      <c r="J70" s="57" t="n"/>
      <c r="K70" s="25" t="n"/>
      <c r="L70" s="30" t="n"/>
      <c r="M70" s="58" t="n"/>
      <c r="N70" s="30" t="n"/>
      <c r="O70" s="24">
        <f>IFERROR(IF(OR(M70="",M70=0),0,H70*VALUE(SUBSTITUTE(M70&amp;"","$",""))),0)</f>
        <v/>
      </c>
    </row>
    <row r="71" outlineLevel="1" ht="16" customHeight="1">
      <c r="A71" s="13" t="n"/>
      <c r="B71" s="14" t="n"/>
      <c r="C71" s="15" t="n"/>
      <c r="D71" s="56" t="n"/>
      <c r="E71" s="56" t="n"/>
      <c r="F71" s="17" t="n"/>
      <c r="G71" s="18">
        <f>IF(D71="Tandem",10,IF(D71="TT",22,IF(D71="Quad",25,"")))</f>
        <v/>
      </c>
      <c r="H71" s="19">
        <f>IFERROR(IF(F71*G71=0,0,F71*G71),0)</f>
        <v/>
      </c>
      <c r="I71" s="20" t="n"/>
      <c r="J71" s="57" t="n"/>
      <c r="K71" s="14" t="n"/>
      <c r="L71" s="22" t="n"/>
      <c r="M71" s="58" t="n"/>
      <c r="N71" s="22" t="n"/>
      <c r="O71" s="24">
        <f>IFERROR(IF(OR(M71="",M71=0),0,H71*VALUE(SUBSTITUTE(M71&amp;"","$",""))),0)</f>
        <v/>
      </c>
    </row>
    <row r="72" outlineLevel="1" ht="16" customHeight="1">
      <c r="A72" s="13" t="n"/>
      <c r="B72" s="25" t="n"/>
      <c r="C72" s="26" t="n"/>
      <c r="D72" s="56" t="n"/>
      <c r="E72" s="56" t="n"/>
      <c r="F72" s="27" t="n"/>
      <c r="G72" s="18">
        <f>IF(D72="Tandem",10,IF(D72="TT",22,IF(D72="Quad",25,"")))</f>
        <v/>
      </c>
      <c r="H72" s="28">
        <f>IFERROR(IF(F72*G72=0,0,F72*G72),0)</f>
        <v/>
      </c>
      <c r="I72" s="29" t="n"/>
      <c r="J72" s="57" t="n"/>
      <c r="K72" s="25" t="n"/>
      <c r="L72" s="30" t="n"/>
      <c r="M72" s="58" t="n"/>
      <c r="N72" s="30" t="n"/>
      <c r="O72" s="24">
        <f>IFERROR(IF(OR(M72="",M72=0),0,H72*VALUE(SUBSTITUTE(M72&amp;"","$",""))),0)</f>
        <v/>
      </c>
    </row>
    <row r="73" outlineLevel="1" ht="16" customHeight="1">
      <c r="A73" s="13" t="n"/>
      <c r="B73" s="14" t="n"/>
      <c r="C73" s="15" t="n"/>
      <c r="D73" s="56" t="n"/>
      <c r="E73" s="56" t="n"/>
      <c r="F73" s="17" t="n"/>
      <c r="G73" s="18">
        <f>IF(D73="Tandem",10,IF(D73="TT",22,IF(D73="Quad",25,"")))</f>
        <v/>
      </c>
      <c r="H73" s="19">
        <f>IFERROR(IF(F73*G73=0,0,F73*G73),0)</f>
        <v/>
      </c>
      <c r="I73" s="20" t="n"/>
      <c r="J73" s="57" t="n"/>
      <c r="K73" s="14" t="n"/>
      <c r="L73" s="22" t="n"/>
      <c r="M73" s="58" t="n"/>
      <c r="N73" s="22" t="n"/>
      <c r="O73" s="24">
        <f>IFERROR(IF(OR(M73="",M73=0),0,H73*VALUE(SUBSTITUTE(M73&amp;"","$",""))),0)</f>
        <v/>
      </c>
    </row>
    <row r="74" outlineLevel="1" ht="16" customHeight="1">
      <c r="A74" s="13" t="n"/>
      <c r="B74" s="25" t="n"/>
      <c r="C74" s="26" t="n"/>
      <c r="D74" s="56" t="n"/>
      <c r="E74" s="56" t="n"/>
      <c r="F74" s="27" t="n"/>
      <c r="G74" s="18">
        <f>IF(D74="Tandem",10,IF(D74="TT",22,IF(D74="Quad",25,"")))</f>
        <v/>
      </c>
      <c r="H74" s="28">
        <f>IFERROR(IF(F74*G74=0,0,F74*G74),0)</f>
        <v/>
      </c>
      <c r="I74" s="29" t="n"/>
      <c r="J74" s="57" t="n"/>
      <c r="K74" s="25" t="n"/>
      <c r="L74" s="30" t="n"/>
      <c r="M74" s="58" t="n"/>
      <c r="N74" s="30" t="n"/>
      <c r="O74" s="24">
        <f>IFERROR(IF(OR(M74="",M74=0),0,H74*VALUE(SUBSTITUTE(M74&amp;"","$",""))),0)</f>
        <v/>
      </c>
    </row>
    <row r="75" outlineLevel="1" ht="16" customHeight="1">
      <c r="A75" s="13" t="n"/>
      <c r="B75" s="14" t="n"/>
      <c r="C75" s="15" t="n"/>
      <c r="D75" s="56" t="n"/>
      <c r="E75" s="56" t="n"/>
      <c r="F75" s="17" t="n"/>
      <c r="G75" s="18">
        <f>IF(D75="Tandem",10,IF(D75="TT",22,IF(D75="Quad",25,"")))</f>
        <v/>
      </c>
      <c r="H75" s="19">
        <f>IFERROR(IF(F75*G75=0,0,F75*G75),0)</f>
        <v/>
      </c>
      <c r="I75" s="20" t="n"/>
      <c r="J75" s="57" t="n"/>
      <c r="K75" s="14" t="n"/>
      <c r="L75" s="22" t="n"/>
      <c r="M75" s="58" t="n"/>
      <c r="N75" s="22" t="n"/>
      <c r="O75" s="24">
        <f>IFERROR(IF(OR(M75="",M75=0),0,H75*VALUE(SUBSTITUTE(M75&amp;"","$",""))),0)</f>
        <v/>
      </c>
    </row>
    <row r="76" outlineLevel="1" ht="16" customHeight="1">
      <c r="A76" s="13" t="n"/>
      <c r="B76" s="25" t="n"/>
      <c r="C76" s="26" t="n"/>
      <c r="D76" s="56" t="n"/>
      <c r="E76" s="56" t="n"/>
      <c r="F76" s="27" t="n"/>
      <c r="G76" s="18">
        <f>IF(D76="Tandem",10,IF(D76="TT",22,IF(D76="Quad",25,"")))</f>
        <v/>
      </c>
      <c r="H76" s="28">
        <f>IFERROR(IF(F76*G76=0,0,F76*G76),0)</f>
        <v/>
      </c>
      <c r="I76" s="29" t="n"/>
      <c r="J76" s="57" t="n"/>
      <c r="K76" s="25" t="n"/>
      <c r="L76" s="30" t="n"/>
      <c r="M76" s="58" t="n"/>
      <c r="N76" s="30" t="n"/>
      <c r="O76" s="24">
        <f>IFERROR(IF(OR(M76="",M76=0),0,H76*VALUE(SUBSTITUTE(M76&amp;"","$",""))),0)</f>
        <v/>
      </c>
    </row>
    <row r="77" outlineLevel="1" ht="16" customHeight="1">
      <c r="A77" s="13" t="n"/>
      <c r="B77" s="14" t="n"/>
      <c r="C77" s="15" t="n"/>
      <c r="D77" s="56" t="n"/>
      <c r="E77" s="56" t="n"/>
      <c r="F77" s="17" t="n"/>
      <c r="G77" s="18">
        <f>IF(D77="Tandem",10,IF(D77="TT",22,IF(D77="Quad",25,"")))</f>
        <v/>
      </c>
      <c r="H77" s="19">
        <f>IFERROR(IF(F77*G77=0,0,F77*G77),0)</f>
        <v/>
      </c>
      <c r="I77" s="20" t="n"/>
      <c r="J77" s="57" t="n"/>
      <c r="K77" s="14" t="n"/>
      <c r="L77" s="22" t="n"/>
      <c r="M77" s="58" t="n"/>
      <c r="N77" s="22" t="n"/>
      <c r="O77" s="24">
        <f>IFERROR(IF(OR(M77="",M77=0),0,H77*VALUE(SUBSTITUTE(M77&amp;"","$",""))),0)</f>
        <v/>
      </c>
    </row>
    <row r="78" outlineLevel="1" ht="16" customHeight="1">
      <c r="A78" s="13" t="n"/>
      <c r="B78" s="25" t="n"/>
      <c r="C78" s="26" t="n"/>
      <c r="D78" s="56" t="n"/>
      <c r="E78" s="56" t="n"/>
      <c r="F78" s="27" t="n"/>
      <c r="G78" s="18">
        <f>IF(D78="Tandem",10,IF(D78="TT",22,IF(D78="Quad",25,"")))</f>
        <v/>
      </c>
      <c r="H78" s="28">
        <f>IFERROR(IF(F78*G78=0,0,F78*G78),0)</f>
        <v/>
      </c>
      <c r="I78" s="29" t="n"/>
      <c r="J78" s="57" t="n"/>
      <c r="K78" s="25" t="n"/>
      <c r="L78" s="30" t="n"/>
      <c r="M78" s="58" t="n"/>
      <c r="N78" s="30" t="n"/>
      <c r="O78" s="24">
        <f>IFERROR(IF(OR(M78="",M78=0),0,H78*VALUE(SUBSTITUTE(M78&amp;"","$",""))),0)</f>
        <v/>
      </c>
    </row>
    <row r="79" outlineLevel="1" ht="16" customHeight="1">
      <c r="A79" s="13" t="n"/>
      <c r="B79" s="14" t="n"/>
      <c r="C79" s="15" t="n"/>
      <c r="D79" s="56" t="n"/>
      <c r="E79" s="56" t="n"/>
      <c r="F79" s="17" t="n"/>
      <c r="G79" s="18">
        <f>IF(D79="Tandem",10,IF(D79="TT",22,IF(D79="Quad",25,"")))</f>
        <v/>
      </c>
      <c r="H79" s="19">
        <f>IFERROR(IF(F79*G79=0,0,F79*G79),0)</f>
        <v/>
      </c>
      <c r="I79" s="20" t="n"/>
      <c r="J79" s="57" t="n"/>
      <c r="K79" s="14" t="n"/>
      <c r="L79" s="22" t="n"/>
      <c r="M79" s="58" t="n"/>
      <c r="N79" s="22" t="n"/>
      <c r="O79" s="24">
        <f>IFERROR(IF(OR(M79="",M79=0),0,H79*VALUE(SUBSTITUTE(M79&amp;"","$",""))),0)</f>
        <v/>
      </c>
    </row>
    <row r="80" outlineLevel="1" ht="16" customHeight="1">
      <c r="A80" s="13" t="n"/>
      <c r="B80" s="25" t="n"/>
      <c r="C80" s="26" t="n"/>
      <c r="D80" s="56" t="n"/>
      <c r="E80" s="56" t="n"/>
      <c r="F80" s="27" t="n"/>
      <c r="G80" s="18">
        <f>IF(D80="Tandem",10,IF(D80="TT",22,IF(D80="Quad",25,"")))</f>
        <v/>
      </c>
      <c r="H80" s="28">
        <f>IFERROR(IF(F80*G80=0,0,F80*G80),0)</f>
        <v/>
      </c>
      <c r="I80" s="29" t="n"/>
      <c r="J80" s="57" t="n"/>
      <c r="K80" s="25" t="n"/>
      <c r="L80" s="30" t="n"/>
      <c r="M80" s="58" t="n"/>
      <c r="N80" s="30" t="n"/>
      <c r="O80" s="24">
        <f>IFERROR(IF(OR(M80="",M80=0),0,H80*VALUE(SUBSTITUTE(M80&amp;"","$",""))),0)</f>
        <v/>
      </c>
    </row>
    <row r="81" outlineLevel="1" ht="16" customHeight="1">
      <c r="A81" s="13" t="n"/>
      <c r="B81" s="14" t="n"/>
      <c r="C81" s="15" t="n"/>
      <c r="D81" s="56" t="n"/>
      <c r="E81" s="56" t="n"/>
      <c r="F81" s="17" t="n"/>
      <c r="G81" s="18">
        <f>IF(D81="Tandem",10,IF(D81="TT",22,IF(D81="Quad",25,"")))</f>
        <v/>
      </c>
      <c r="H81" s="19">
        <f>IFERROR(IF(F81*G81=0,0,F81*G81),0)</f>
        <v/>
      </c>
      <c r="I81" s="20" t="n"/>
      <c r="J81" s="57" t="n"/>
      <c r="K81" s="14" t="n"/>
      <c r="L81" s="22" t="n"/>
      <c r="M81" s="58" t="n"/>
      <c r="N81" s="22" t="n"/>
      <c r="O81" s="24">
        <f>IFERROR(IF(OR(M81="",M81=0),0,H81*VALUE(SUBSTITUTE(M81&amp;"","$",""))),0)</f>
        <v/>
      </c>
    </row>
    <row r="82" outlineLevel="1" ht="16" customHeight="1">
      <c r="A82" s="13" t="n"/>
      <c r="B82" s="25" t="n"/>
      <c r="C82" s="26" t="n"/>
      <c r="D82" s="56" t="n"/>
      <c r="E82" s="56" t="n"/>
      <c r="F82" s="27" t="n"/>
      <c r="G82" s="18">
        <f>IF(D82="Tandem",10,IF(D82="TT",22,IF(D82="Quad",25,"")))</f>
        <v/>
      </c>
      <c r="H82" s="28">
        <f>IFERROR(IF(F82*G82=0,0,F82*G82),0)</f>
        <v/>
      </c>
      <c r="I82" s="29" t="n"/>
      <c r="J82" s="57" t="n"/>
      <c r="K82" s="25" t="n"/>
      <c r="L82" s="30" t="n"/>
      <c r="M82" s="58" t="n"/>
      <c r="N82" s="30" t="n"/>
      <c r="O82" s="24">
        <f>IFERROR(IF(OR(M82="",M82=0),0,H82*VALUE(SUBSTITUTE(M82&amp;"","$",""))),0)</f>
        <v/>
      </c>
    </row>
    <row r="83" outlineLevel="1" ht="16" customHeight="1">
      <c r="A83" s="13" t="n"/>
      <c r="B83" s="14" t="n"/>
      <c r="C83" s="15" t="n"/>
      <c r="D83" s="56" t="n"/>
      <c r="E83" s="56" t="n"/>
      <c r="F83" s="17" t="n"/>
      <c r="G83" s="18">
        <f>IF(D83="Tandem",10,IF(D83="TT",22,IF(D83="Quad",25,"")))</f>
        <v/>
      </c>
      <c r="H83" s="19">
        <f>IFERROR(IF(F83*G83=0,0,F83*G83),0)</f>
        <v/>
      </c>
      <c r="I83" s="20" t="n"/>
      <c r="J83" s="57" t="n"/>
      <c r="K83" s="14" t="n"/>
      <c r="L83" s="22" t="n"/>
      <c r="M83" s="58" t="n"/>
      <c r="N83" s="22" t="n"/>
      <c r="O83" s="24">
        <f>IFERROR(IF(OR(M83="",M83=0),0,H83*VALUE(SUBSTITUTE(M83&amp;"","$",""))),0)</f>
        <v/>
      </c>
    </row>
    <row r="84" outlineLevel="1" ht="16" customHeight="1">
      <c r="A84" s="13" t="n"/>
      <c r="B84" s="25" t="n"/>
      <c r="C84" s="26" t="n"/>
      <c r="D84" s="56" t="n"/>
      <c r="E84" s="56" t="n"/>
      <c r="F84" s="27" t="n"/>
      <c r="G84" s="18">
        <f>IF(D84="Tandem",10,IF(D84="TT",22,IF(D84="Quad",25,"")))</f>
        <v/>
      </c>
      <c r="H84" s="28">
        <f>IFERROR(IF(F84*G84=0,0,F84*G84),0)</f>
        <v/>
      </c>
      <c r="I84" s="29" t="n"/>
      <c r="J84" s="57" t="n"/>
      <c r="K84" s="25" t="n"/>
      <c r="L84" s="30" t="n"/>
      <c r="M84" s="58" t="n"/>
      <c r="N84" s="30" t="n"/>
      <c r="O84" s="24">
        <f>IFERROR(IF(OR(M84="",M84=0),0,H84*VALUE(SUBSTITUTE(M84&amp;"","$",""))),0)</f>
        <v/>
      </c>
    </row>
    <row r="85" outlineLevel="1" ht="20" customHeight="1">
      <c r="A85" s="59" t="inlineStr">
        <is>
          <t>Daily Notes:</t>
        </is>
      </c>
      <c r="B85" s="54" t="n"/>
      <c r="C85" s="54" t="n"/>
      <c r="D85" s="54" t="n"/>
      <c r="E85" s="54" t="n"/>
      <c r="F85" s="54" t="n"/>
      <c r="G85" s="54" t="n"/>
      <c r="H85" s="54" t="n"/>
      <c r="I85" s="54" t="n"/>
      <c r="J85" s="54" t="n"/>
      <c r="K85" s="54" t="n"/>
      <c r="L85" s="54" t="n"/>
      <c r="M85" s="54" t="n"/>
      <c r="N85" s="50" t="n"/>
      <c r="O85" s="60" t="n"/>
    </row>
    <row r="86" outlineLevel="1" ht="18" customHeight="1">
      <c r="A86" s="32" t="inlineStr">
        <is>
          <t>DAILY TOTAL</t>
        </is>
      </c>
      <c r="B86" s="54" t="n"/>
      <c r="C86" s="54" t="n"/>
      <c r="D86" s="54" t="n"/>
      <c r="E86" s="54" t="n"/>
      <c r="F86" s="54" t="n"/>
      <c r="G86" s="50" t="n"/>
      <c r="H86" s="34">
        <f>SUM(H55:H84)</f>
        <v/>
      </c>
      <c r="I86" s="35">
        <f>SUM(I55:I84)</f>
        <v/>
      </c>
      <c r="J86" s="61" t="n"/>
      <c r="K86" s="61" t="n"/>
      <c r="L86" s="61" t="n"/>
      <c r="M86" s="36">
        <f>SUM(O55:O84)</f>
        <v/>
      </c>
      <c r="N86" s="61" t="n"/>
      <c r="O86" s="62" t="n"/>
    </row>
    <row r="87" outlineLevel="1" ht="18" customHeight="1">
      <c r="A87" s="2" t="inlineStr">
        <is>
          <t>▶ RUNNING TOTAL</t>
        </is>
      </c>
      <c r="B87" s="54" t="n"/>
      <c r="C87" s="54" t="n"/>
      <c r="D87" s="54" t="n"/>
      <c r="E87" s="54" t="n"/>
      <c r="F87" s="54" t="n"/>
      <c r="G87" s="50" t="n"/>
      <c r="H87" s="37">
        <f>H50+H86</f>
        <v/>
      </c>
      <c r="I87" s="63" t="n"/>
      <c r="J87" s="63" t="n"/>
      <c r="K87" s="63" t="n"/>
      <c r="L87" s="63" t="n"/>
      <c r="M87" s="38">
        <f>M50+M86</f>
        <v/>
      </c>
      <c r="N87" s="63" t="n"/>
      <c r="O87" s="64" t="n"/>
    </row>
    <row r="88" outlineLevel="1" ht="8" customHeight="1"/>
    <row r="89" ht="22" customHeight="1">
      <c r="A89" s="55" t="inlineStr">
        <is>
          <t>DAY 3</t>
        </is>
      </c>
      <c r="B89" s="54" t="n"/>
      <c r="C89" s="54" t="n"/>
      <c r="D89" s="54" t="n"/>
      <c r="E89" s="54" t="n"/>
      <c r="F89" s="54" t="n"/>
      <c r="G89" s="54" t="n"/>
      <c r="H89" s="54" t="n"/>
      <c r="I89" s="54" t="n"/>
      <c r="J89" s="54" t="n"/>
      <c r="K89" s="54" t="n"/>
      <c r="L89" s="54" t="n"/>
      <c r="M89" s="54" t="n"/>
      <c r="N89" s="50" t="n"/>
    </row>
    <row r="90" outlineLevel="1" ht="28" customHeight="1">
      <c r="A90" s="12" t="inlineStr">
        <is>
          <t>Date</t>
        </is>
      </c>
      <c r="B90" s="12" t="inlineStr">
        <is>
          <t>Cartage Company</t>
        </is>
      </c>
      <c r="C90" s="12" t="inlineStr">
        <is>
          <t>Truck Rego</t>
        </is>
      </c>
      <c r="D90" s="12" t="inlineStr">
        <is>
          <t>Truck Type</t>
        </is>
      </c>
      <c r="E90" s="12" t="inlineStr">
        <is>
          <t>Exp / Imp</t>
        </is>
      </c>
      <c r="F90" s="12" t="inlineStr">
        <is>
          <t>Loads</t>
        </is>
      </c>
      <c r="G90" s="12" t="inlineStr">
        <is>
          <t>m³ / Load</t>
        </is>
      </c>
      <c r="H90" s="12" t="inlineStr">
        <is>
          <t>Total m³</t>
        </is>
      </c>
      <c r="I90" s="12" t="inlineStr">
        <is>
          <t>Hours</t>
        </is>
      </c>
      <c r="J90" s="12" t="inlineStr">
        <is>
          <t>Material</t>
        </is>
      </c>
      <c r="K90" s="12" t="inlineStr">
        <is>
          <t>Tip Site</t>
        </is>
      </c>
      <c r="L90" s="12" t="inlineStr">
        <is>
          <t>Docket #</t>
        </is>
      </c>
      <c r="M90" s="12" t="inlineStr">
        <is>
          <t>Rate Paid ($/m³)</t>
        </is>
      </c>
      <c r="N90" s="12" t="inlineStr">
        <is>
          <t>Invoice #</t>
        </is>
      </c>
    </row>
    <row r="91" outlineLevel="1" ht="16" customHeight="1">
      <c r="A91" s="13" t="n"/>
      <c r="B91" s="14" t="n"/>
      <c r="C91" s="15" t="n"/>
      <c r="D91" s="56" t="n"/>
      <c r="E91" s="56" t="n"/>
      <c r="F91" s="17" t="n"/>
      <c r="G91" s="18">
        <f>IF(D91="Tandem",10,IF(D91="TT",22,IF(D91="Quad",25,"")))</f>
        <v/>
      </c>
      <c r="H91" s="19">
        <f>IFERROR(IF(F91*G91=0,0,F91*G91),0)</f>
        <v/>
      </c>
      <c r="I91" s="20" t="n"/>
      <c r="J91" s="57" t="n"/>
      <c r="K91" s="14" t="n"/>
      <c r="L91" s="22" t="n"/>
      <c r="M91" s="58" t="n"/>
      <c r="N91" s="22" t="n"/>
      <c r="O91" s="24">
        <f>IFERROR(IF(OR(M91="",M91=0),0,H91*VALUE(SUBSTITUTE(M91&amp;"","$",""))),0)</f>
        <v/>
      </c>
    </row>
    <row r="92" outlineLevel="1" ht="16" customHeight="1">
      <c r="A92" s="13" t="n"/>
      <c r="B92" s="25" t="n"/>
      <c r="C92" s="26" t="n"/>
      <c r="D92" s="56" t="n"/>
      <c r="E92" s="56" t="n"/>
      <c r="F92" s="27" t="n"/>
      <c r="G92" s="18">
        <f>IF(D92="Tandem",10,IF(D92="TT",22,IF(D92="Quad",25,"")))</f>
        <v/>
      </c>
      <c r="H92" s="28">
        <f>IFERROR(IF(F92*G92=0,0,F92*G92),0)</f>
        <v/>
      </c>
      <c r="I92" s="29" t="n"/>
      <c r="J92" s="57" t="n"/>
      <c r="K92" s="25" t="n"/>
      <c r="L92" s="30" t="n"/>
      <c r="M92" s="58" t="n"/>
      <c r="N92" s="30" t="n"/>
      <c r="O92" s="24">
        <f>IFERROR(IF(OR(M92="",M92=0),0,H92*VALUE(SUBSTITUTE(M92&amp;"","$",""))),0)</f>
        <v/>
      </c>
    </row>
    <row r="93" outlineLevel="1" ht="16" customHeight="1">
      <c r="A93" s="13" t="n"/>
      <c r="B93" s="14" t="n"/>
      <c r="C93" s="15" t="n"/>
      <c r="D93" s="56" t="n"/>
      <c r="E93" s="56" t="n"/>
      <c r="F93" s="17" t="n"/>
      <c r="G93" s="18">
        <f>IF(D93="Tandem",10,IF(D93="TT",22,IF(D93="Quad",25,"")))</f>
        <v/>
      </c>
      <c r="H93" s="19">
        <f>IFERROR(IF(F93*G93=0,0,F93*G93),0)</f>
        <v/>
      </c>
      <c r="I93" s="20" t="n"/>
      <c r="J93" s="57" t="n"/>
      <c r="K93" s="14" t="n"/>
      <c r="L93" s="22" t="n"/>
      <c r="M93" s="58" t="n"/>
      <c r="N93" s="22" t="n"/>
      <c r="O93" s="24">
        <f>IFERROR(IF(OR(M93="",M93=0),0,H93*VALUE(SUBSTITUTE(M93&amp;"","$",""))),0)</f>
        <v/>
      </c>
    </row>
    <row r="94" outlineLevel="1" ht="16" customHeight="1">
      <c r="A94" s="13" t="n"/>
      <c r="B94" s="25" t="n"/>
      <c r="C94" s="26" t="n"/>
      <c r="D94" s="56" t="n"/>
      <c r="E94" s="56" t="n"/>
      <c r="F94" s="27" t="n"/>
      <c r="G94" s="18">
        <f>IF(D94="Tandem",10,IF(D94="TT",22,IF(D94="Quad",25,"")))</f>
        <v/>
      </c>
      <c r="H94" s="28">
        <f>IFERROR(IF(F94*G94=0,0,F94*G94),0)</f>
        <v/>
      </c>
      <c r="I94" s="29" t="n"/>
      <c r="J94" s="57" t="n"/>
      <c r="K94" s="25" t="n"/>
      <c r="L94" s="30" t="n"/>
      <c r="M94" s="58" t="n"/>
      <c r="N94" s="30" t="n"/>
      <c r="O94" s="24">
        <f>IFERROR(IF(OR(M94="",M94=0),0,H94*VALUE(SUBSTITUTE(M94&amp;"","$",""))),0)</f>
        <v/>
      </c>
    </row>
    <row r="95" outlineLevel="1" ht="16" customHeight="1">
      <c r="A95" s="13" t="n"/>
      <c r="B95" s="14" t="n"/>
      <c r="C95" s="15" t="n"/>
      <c r="D95" s="56" t="n"/>
      <c r="E95" s="56" t="n"/>
      <c r="F95" s="17" t="n"/>
      <c r="G95" s="18">
        <f>IF(D95="Tandem",10,IF(D95="TT",22,IF(D95="Quad",25,"")))</f>
        <v/>
      </c>
      <c r="H95" s="19">
        <f>IFERROR(IF(F95*G95=0,0,F95*G95),0)</f>
        <v/>
      </c>
      <c r="I95" s="20" t="n"/>
      <c r="J95" s="57" t="n"/>
      <c r="K95" s="14" t="n"/>
      <c r="L95" s="22" t="n"/>
      <c r="M95" s="58" t="n"/>
      <c r="N95" s="22" t="n"/>
      <c r="O95" s="24">
        <f>IFERROR(IF(OR(M95="",M95=0),0,H95*VALUE(SUBSTITUTE(M95&amp;"","$",""))),0)</f>
        <v/>
      </c>
    </row>
    <row r="96" outlineLevel="1" ht="16" customHeight="1">
      <c r="A96" s="13" t="n"/>
      <c r="B96" s="25" t="n"/>
      <c r="C96" s="26" t="n"/>
      <c r="D96" s="56" t="n"/>
      <c r="E96" s="56" t="n"/>
      <c r="F96" s="27" t="n"/>
      <c r="G96" s="18">
        <f>IF(D96="Tandem",10,IF(D96="TT",22,IF(D96="Quad",25,"")))</f>
        <v/>
      </c>
      <c r="H96" s="28">
        <f>IFERROR(IF(F96*G96=0,0,F96*G96),0)</f>
        <v/>
      </c>
      <c r="I96" s="29" t="n"/>
      <c r="J96" s="57" t="n"/>
      <c r="K96" s="25" t="n"/>
      <c r="L96" s="30" t="n"/>
      <c r="M96" s="58" t="n"/>
      <c r="N96" s="30" t="n"/>
      <c r="O96" s="24">
        <f>IFERROR(IF(OR(M96="",M96=0),0,H96*VALUE(SUBSTITUTE(M96&amp;"","$",""))),0)</f>
        <v/>
      </c>
    </row>
    <row r="97" outlineLevel="1" ht="16" customHeight="1">
      <c r="A97" s="13" t="n"/>
      <c r="B97" s="14" t="n"/>
      <c r="C97" s="15" t="n"/>
      <c r="D97" s="56" t="n"/>
      <c r="E97" s="56" t="n"/>
      <c r="F97" s="17" t="n"/>
      <c r="G97" s="18">
        <f>IF(D97="Tandem",10,IF(D97="TT",22,IF(D97="Quad",25,"")))</f>
        <v/>
      </c>
      <c r="H97" s="19">
        <f>IFERROR(IF(F97*G97=0,0,F97*G97),0)</f>
        <v/>
      </c>
      <c r="I97" s="20" t="n"/>
      <c r="J97" s="57" t="n"/>
      <c r="K97" s="14" t="n"/>
      <c r="L97" s="22" t="n"/>
      <c r="M97" s="58" t="n"/>
      <c r="N97" s="22" t="n"/>
      <c r="O97" s="24">
        <f>IFERROR(IF(OR(M97="",M97=0),0,H97*VALUE(SUBSTITUTE(M97&amp;"","$",""))),0)</f>
        <v/>
      </c>
    </row>
    <row r="98" outlineLevel="1" ht="16" customHeight="1">
      <c r="A98" s="13" t="n"/>
      <c r="B98" s="25" t="n"/>
      <c r="C98" s="26" t="n"/>
      <c r="D98" s="56" t="n"/>
      <c r="E98" s="56" t="n"/>
      <c r="F98" s="27" t="n"/>
      <c r="G98" s="18">
        <f>IF(D98="Tandem",10,IF(D98="TT",22,IF(D98="Quad",25,"")))</f>
        <v/>
      </c>
      <c r="H98" s="28">
        <f>IFERROR(IF(F98*G98=0,0,F98*G98),0)</f>
        <v/>
      </c>
      <c r="I98" s="29" t="n"/>
      <c r="J98" s="57" t="n"/>
      <c r="K98" s="25" t="n"/>
      <c r="L98" s="30" t="n"/>
      <c r="M98" s="58" t="n"/>
      <c r="N98" s="30" t="n"/>
      <c r="O98" s="24">
        <f>IFERROR(IF(OR(M98="",M98=0),0,H98*VALUE(SUBSTITUTE(M98&amp;"","$",""))),0)</f>
        <v/>
      </c>
    </row>
    <row r="99" outlineLevel="1" ht="16" customHeight="1">
      <c r="A99" s="13" t="n"/>
      <c r="B99" s="14" t="n"/>
      <c r="C99" s="15" t="n"/>
      <c r="D99" s="56" t="n"/>
      <c r="E99" s="56" t="n"/>
      <c r="F99" s="17" t="n"/>
      <c r="G99" s="18">
        <f>IF(D99="Tandem",10,IF(D99="TT",22,IF(D99="Quad",25,"")))</f>
        <v/>
      </c>
      <c r="H99" s="19">
        <f>IFERROR(IF(F99*G99=0,0,F99*G99),0)</f>
        <v/>
      </c>
      <c r="I99" s="20" t="n"/>
      <c r="J99" s="57" t="n"/>
      <c r="K99" s="14" t="n"/>
      <c r="L99" s="22" t="n"/>
      <c r="M99" s="58" t="n"/>
      <c r="N99" s="22" t="n"/>
      <c r="O99" s="24">
        <f>IFERROR(IF(OR(M99="",M99=0),0,H99*VALUE(SUBSTITUTE(M99&amp;"","$",""))),0)</f>
        <v/>
      </c>
    </row>
    <row r="100" outlineLevel="1" ht="16" customHeight="1">
      <c r="A100" s="13" t="n"/>
      <c r="B100" s="25" t="n"/>
      <c r="C100" s="26" t="n"/>
      <c r="D100" s="56" t="n"/>
      <c r="E100" s="56" t="n"/>
      <c r="F100" s="27" t="n"/>
      <c r="G100" s="18">
        <f>IF(D100="Tandem",10,IF(D100="TT",22,IF(D100="Quad",25,"")))</f>
        <v/>
      </c>
      <c r="H100" s="28">
        <f>IFERROR(IF(F100*G100=0,0,F100*G100),0)</f>
        <v/>
      </c>
      <c r="I100" s="29" t="n"/>
      <c r="J100" s="57" t="n"/>
      <c r="K100" s="25" t="n"/>
      <c r="L100" s="30" t="n"/>
      <c r="M100" s="58" t="n"/>
      <c r="N100" s="30" t="n"/>
      <c r="O100" s="24">
        <f>IFERROR(IF(OR(M100="",M100=0),0,H100*VALUE(SUBSTITUTE(M100&amp;"","$",""))),0)</f>
        <v/>
      </c>
    </row>
    <row r="101" outlineLevel="1" ht="16" customHeight="1">
      <c r="A101" s="13" t="n"/>
      <c r="B101" s="14" t="n"/>
      <c r="C101" s="15" t="n"/>
      <c r="D101" s="56" t="n"/>
      <c r="E101" s="56" t="n"/>
      <c r="F101" s="17" t="n"/>
      <c r="G101" s="18">
        <f>IF(D101="Tandem",10,IF(D101="TT",22,IF(D101="Quad",25,"")))</f>
        <v/>
      </c>
      <c r="H101" s="19">
        <f>IFERROR(IF(F101*G101=0,0,F101*G101),0)</f>
        <v/>
      </c>
      <c r="I101" s="20" t="n"/>
      <c r="J101" s="57" t="n"/>
      <c r="K101" s="14" t="n"/>
      <c r="L101" s="22" t="n"/>
      <c r="M101" s="58" t="n"/>
      <c r="N101" s="22" t="n"/>
      <c r="O101" s="24">
        <f>IFERROR(IF(OR(M101="",M101=0),0,H101*VALUE(SUBSTITUTE(M101&amp;"","$",""))),0)</f>
        <v/>
      </c>
    </row>
    <row r="102" outlineLevel="1" ht="16" customHeight="1">
      <c r="A102" s="13" t="n"/>
      <c r="B102" s="25" t="n"/>
      <c r="C102" s="26" t="n"/>
      <c r="D102" s="56" t="n"/>
      <c r="E102" s="56" t="n"/>
      <c r="F102" s="27" t="n"/>
      <c r="G102" s="18">
        <f>IF(D102="Tandem",10,IF(D102="TT",22,IF(D102="Quad",25,"")))</f>
        <v/>
      </c>
      <c r="H102" s="28">
        <f>IFERROR(IF(F102*G102=0,0,F102*G102),0)</f>
        <v/>
      </c>
      <c r="I102" s="29" t="n"/>
      <c r="J102" s="57" t="n"/>
      <c r="K102" s="25" t="n"/>
      <c r="L102" s="30" t="n"/>
      <c r="M102" s="58" t="n"/>
      <c r="N102" s="30" t="n"/>
      <c r="O102" s="24">
        <f>IFERROR(IF(OR(M102="",M102=0),0,H102*VALUE(SUBSTITUTE(M102&amp;"","$",""))),0)</f>
        <v/>
      </c>
    </row>
    <row r="103" outlineLevel="1" ht="16" customHeight="1">
      <c r="A103" s="13" t="n"/>
      <c r="B103" s="14" t="n"/>
      <c r="C103" s="15" t="n"/>
      <c r="D103" s="56" t="n"/>
      <c r="E103" s="56" t="n"/>
      <c r="F103" s="17" t="n"/>
      <c r="G103" s="18">
        <f>IF(D103="Tandem",10,IF(D103="TT",22,IF(D103="Quad",25,"")))</f>
        <v/>
      </c>
      <c r="H103" s="19">
        <f>IFERROR(IF(F103*G103=0,0,F103*G103),0)</f>
        <v/>
      </c>
      <c r="I103" s="20" t="n"/>
      <c r="J103" s="57" t="n"/>
      <c r="K103" s="14" t="n"/>
      <c r="L103" s="22" t="n"/>
      <c r="M103" s="58" t="n"/>
      <c r="N103" s="22" t="n"/>
      <c r="O103" s="24">
        <f>IFERROR(IF(OR(M103="",M103=0),0,H103*VALUE(SUBSTITUTE(M103&amp;"","$",""))),0)</f>
        <v/>
      </c>
    </row>
    <row r="104" outlineLevel="1" ht="16" customHeight="1">
      <c r="A104" s="13" t="n"/>
      <c r="B104" s="25" t="n"/>
      <c r="C104" s="26" t="n"/>
      <c r="D104" s="56" t="n"/>
      <c r="E104" s="56" t="n"/>
      <c r="F104" s="27" t="n"/>
      <c r="G104" s="18">
        <f>IF(D104="Tandem",10,IF(D104="TT",22,IF(D104="Quad",25,"")))</f>
        <v/>
      </c>
      <c r="H104" s="28">
        <f>IFERROR(IF(F104*G104=0,0,F104*G104),0)</f>
        <v/>
      </c>
      <c r="I104" s="29" t="n"/>
      <c r="J104" s="57" t="n"/>
      <c r="K104" s="25" t="n"/>
      <c r="L104" s="30" t="n"/>
      <c r="M104" s="58" t="n"/>
      <c r="N104" s="30" t="n"/>
      <c r="O104" s="24">
        <f>IFERROR(IF(OR(M104="",M104=0),0,H104*VALUE(SUBSTITUTE(M104&amp;"","$",""))),0)</f>
        <v/>
      </c>
    </row>
    <row r="105" outlineLevel="1" ht="16" customHeight="1">
      <c r="A105" s="13" t="n"/>
      <c r="B105" s="14" t="n"/>
      <c r="C105" s="15" t="n"/>
      <c r="D105" s="56" t="n"/>
      <c r="E105" s="56" t="n"/>
      <c r="F105" s="17" t="n"/>
      <c r="G105" s="18">
        <f>IF(D105="Tandem",10,IF(D105="TT",22,IF(D105="Quad",25,"")))</f>
        <v/>
      </c>
      <c r="H105" s="19">
        <f>IFERROR(IF(F105*G105=0,0,F105*G105),0)</f>
        <v/>
      </c>
      <c r="I105" s="20" t="n"/>
      <c r="J105" s="57" t="n"/>
      <c r="K105" s="14" t="n"/>
      <c r="L105" s="22" t="n"/>
      <c r="M105" s="58" t="n"/>
      <c r="N105" s="22" t="n"/>
      <c r="O105" s="24">
        <f>IFERROR(IF(OR(M105="",M105=0),0,H105*VALUE(SUBSTITUTE(M105&amp;"","$",""))),0)</f>
        <v/>
      </c>
    </row>
    <row r="106" outlineLevel="1" ht="16" customHeight="1">
      <c r="A106" s="13" t="n"/>
      <c r="B106" s="25" t="n"/>
      <c r="C106" s="26" t="n"/>
      <c r="D106" s="56" t="n"/>
      <c r="E106" s="56" t="n"/>
      <c r="F106" s="27" t="n"/>
      <c r="G106" s="18">
        <f>IF(D106="Tandem",10,IF(D106="TT",22,IF(D106="Quad",25,"")))</f>
        <v/>
      </c>
      <c r="H106" s="28">
        <f>IFERROR(IF(F106*G106=0,0,F106*G106),0)</f>
        <v/>
      </c>
      <c r="I106" s="29" t="n"/>
      <c r="J106" s="57" t="n"/>
      <c r="K106" s="25" t="n"/>
      <c r="L106" s="30" t="n"/>
      <c r="M106" s="58" t="n"/>
      <c r="N106" s="30" t="n"/>
      <c r="O106" s="24">
        <f>IFERROR(IF(OR(M106="",M106=0),0,H106*VALUE(SUBSTITUTE(M106&amp;"","$",""))),0)</f>
        <v/>
      </c>
    </row>
    <row r="107" outlineLevel="1" ht="16" customHeight="1">
      <c r="A107" s="13" t="n"/>
      <c r="B107" s="14" t="n"/>
      <c r="C107" s="15" t="n"/>
      <c r="D107" s="56" t="n"/>
      <c r="E107" s="56" t="n"/>
      <c r="F107" s="17" t="n"/>
      <c r="G107" s="18">
        <f>IF(D107="Tandem",10,IF(D107="TT",22,IF(D107="Quad",25,"")))</f>
        <v/>
      </c>
      <c r="H107" s="19">
        <f>IFERROR(IF(F107*G107=0,0,F107*G107),0)</f>
        <v/>
      </c>
      <c r="I107" s="20" t="n"/>
      <c r="J107" s="57" t="n"/>
      <c r="K107" s="14" t="n"/>
      <c r="L107" s="22" t="n"/>
      <c r="M107" s="58" t="n"/>
      <c r="N107" s="22" t="n"/>
      <c r="O107" s="24">
        <f>IFERROR(IF(OR(M107="",M107=0),0,H107*VALUE(SUBSTITUTE(M107&amp;"","$",""))),0)</f>
        <v/>
      </c>
    </row>
    <row r="108" outlineLevel="1" ht="16" customHeight="1">
      <c r="A108" s="13" t="n"/>
      <c r="B108" s="25" t="n"/>
      <c r="C108" s="26" t="n"/>
      <c r="D108" s="56" t="n"/>
      <c r="E108" s="56" t="n"/>
      <c r="F108" s="27" t="n"/>
      <c r="G108" s="18">
        <f>IF(D108="Tandem",10,IF(D108="TT",22,IF(D108="Quad",25,"")))</f>
        <v/>
      </c>
      <c r="H108" s="28">
        <f>IFERROR(IF(F108*G108=0,0,F108*G108),0)</f>
        <v/>
      </c>
      <c r="I108" s="29" t="n"/>
      <c r="J108" s="57" t="n"/>
      <c r="K108" s="25" t="n"/>
      <c r="L108" s="30" t="n"/>
      <c r="M108" s="58" t="n"/>
      <c r="N108" s="30" t="n"/>
      <c r="O108" s="24">
        <f>IFERROR(IF(OR(M108="",M108=0),0,H108*VALUE(SUBSTITUTE(M108&amp;"","$",""))),0)</f>
        <v/>
      </c>
    </row>
    <row r="109" outlineLevel="1" ht="16" customHeight="1">
      <c r="A109" s="13" t="n"/>
      <c r="B109" s="14" t="n"/>
      <c r="C109" s="15" t="n"/>
      <c r="D109" s="56" t="n"/>
      <c r="E109" s="56" t="n"/>
      <c r="F109" s="17" t="n"/>
      <c r="G109" s="18">
        <f>IF(D109="Tandem",10,IF(D109="TT",22,IF(D109="Quad",25,"")))</f>
        <v/>
      </c>
      <c r="H109" s="19">
        <f>IFERROR(IF(F109*G109=0,0,F109*G109),0)</f>
        <v/>
      </c>
      <c r="I109" s="20" t="n"/>
      <c r="J109" s="57" t="n"/>
      <c r="K109" s="14" t="n"/>
      <c r="L109" s="22" t="n"/>
      <c r="M109" s="58" t="n"/>
      <c r="N109" s="22" t="n"/>
      <c r="O109" s="24">
        <f>IFERROR(IF(OR(M109="",M109=0),0,H109*VALUE(SUBSTITUTE(M109&amp;"","$",""))),0)</f>
        <v/>
      </c>
    </row>
    <row r="110" outlineLevel="1" ht="16" customHeight="1">
      <c r="A110" s="13" t="n"/>
      <c r="B110" s="25" t="n"/>
      <c r="C110" s="26" t="n"/>
      <c r="D110" s="56" t="n"/>
      <c r="E110" s="56" t="n"/>
      <c r="F110" s="27" t="n"/>
      <c r="G110" s="18">
        <f>IF(D110="Tandem",10,IF(D110="TT",22,IF(D110="Quad",25,"")))</f>
        <v/>
      </c>
      <c r="H110" s="28">
        <f>IFERROR(IF(F110*G110=0,0,F110*G110),0)</f>
        <v/>
      </c>
      <c r="I110" s="29" t="n"/>
      <c r="J110" s="57" t="n"/>
      <c r="K110" s="25" t="n"/>
      <c r="L110" s="30" t="n"/>
      <c r="M110" s="58" t="n"/>
      <c r="N110" s="30" t="n"/>
      <c r="O110" s="24">
        <f>IFERROR(IF(OR(M110="",M110=0),0,H110*VALUE(SUBSTITUTE(M110&amp;"","$",""))),0)</f>
        <v/>
      </c>
    </row>
    <row r="111" outlineLevel="1" ht="16" customHeight="1">
      <c r="A111" s="13" t="n"/>
      <c r="B111" s="14" t="n"/>
      <c r="C111" s="15" t="n"/>
      <c r="D111" s="56" t="n"/>
      <c r="E111" s="56" t="n"/>
      <c r="F111" s="17" t="n"/>
      <c r="G111" s="18">
        <f>IF(D111="Tandem",10,IF(D111="TT",22,IF(D111="Quad",25,"")))</f>
        <v/>
      </c>
      <c r="H111" s="19">
        <f>IFERROR(IF(F111*G111=0,0,F111*G111),0)</f>
        <v/>
      </c>
      <c r="I111" s="20" t="n"/>
      <c r="J111" s="57" t="n"/>
      <c r="K111" s="14" t="n"/>
      <c r="L111" s="22" t="n"/>
      <c r="M111" s="58" t="n"/>
      <c r="N111" s="22" t="n"/>
      <c r="O111" s="24">
        <f>IFERROR(IF(OR(M111="",M111=0),0,H111*VALUE(SUBSTITUTE(M111&amp;"","$",""))),0)</f>
        <v/>
      </c>
    </row>
    <row r="112" outlineLevel="1" ht="16" customHeight="1">
      <c r="A112" s="13" t="n"/>
      <c r="B112" s="25" t="n"/>
      <c r="C112" s="26" t="n"/>
      <c r="D112" s="56" t="n"/>
      <c r="E112" s="56" t="n"/>
      <c r="F112" s="27" t="n"/>
      <c r="G112" s="18">
        <f>IF(D112="Tandem",10,IF(D112="TT",22,IF(D112="Quad",25,"")))</f>
        <v/>
      </c>
      <c r="H112" s="28">
        <f>IFERROR(IF(F112*G112=0,0,F112*G112),0)</f>
        <v/>
      </c>
      <c r="I112" s="29" t="n"/>
      <c r="J112" s="57" t="n"/>
      <c r="K112" s="25" t="n"/>
      <c r="L112" s="30" t="n"/>
      <c r="M112" s="58" t="n"/>
      <c r="N112" s="30" t="n"/>
      <c r="O112" s="24">
        <f>IFERROR(IF(OR(M112="",M112=0),0,H112*VALUE(SUBSTITUTE(M112&amp;"","$",""))),0)</f>
        <v/>
      </c>
    </row>
    <row r="113" outlineLevel="1" ht="16" customHeight="1">
      <c r="A113" s="13" t="n"/>
      <c r="B113" s="14" t="n"/>
      <c r="C113" s="15" t="n"/>
      <c r="D113" s="56" t="n"/>
      <c r="E113" s="56" t="n"/>
      <c r="F113" s="17" t="n"/>
      <c r="G113" s="18">
        <f>IF(D113="Tandem",10,IF(D113="TT",22,IF(D113="Quad",25,"")))</f>
        <v/>
      </c>
      <c r="H113" s="19">
        <f>IFERROR(IF(F113*G113=0,0,F113*G113),0)</f>
        <v/>
      </c>
      <c r="I113" s="20" t="n"/>
      <c r="J113" s="57" t="n"/>
      <c r="K113" s="14" t="n"/>
      <c r="L113" s="22" t="n"/>
      <c r="M113" s="58" t="n"/>
      <c r="N113" s="22" t="n"/>
      <c r="O113" s="24">
        <f>IFERROR(IF(OR(M113="",M113=0),0,H113*VALUE(SUBSTITUTE(M113&amp;"","$",""))),0)</f>
        <v/>
      </c>
    </row>
    <row r="114" outlineLevel="1" ht="16" customHeight="1">
      <c r="A114" s="13" t="n"/>
      <c r="B114" s="25" t="n"/>
      <c r="C114" s="26" t="n"/>
      <c r="D114" s="56" t="n"/>
      <c r="E114" s="56" t="n"/>
      <c r="F114" s="27" t="n"/>
      <c r="G114" s="18">
        <f>IF(D114="Tandem",10,IF(D114="TT",22,IF(D114="Quad",25,"")))</f>
        <v/>
      </c>
      <c r="H114" s="28">
        <f>IFERROR(IF(F114*G114=0,0,F114*G114),0)</f>
        <v/>
      </c>
      <c r="I114" s="29" t="n"/>
      <c r="J114" s="57" t="n"/>
      <c r="K114" s="25" t="n"/>
      <c r="L114" s="30" t="n"/>
      <c r="M114" s="58" t="n"/>
      <c r="N114" s="30" t="n"/>
      <c r="O114" s="24">
        <f>IFERROR(IF(OR(M114="",M114=0),0,H114*VALUE(SUBSTITUTE(M114&amp;"","$",""))),0)</f>
        <v/>
      </c>
    </row>
    <row r="115" outlineLevel="1" ht="16" customHeight="1">
      <c r="A115" s="13" t="n"/>
      <c r="B115" s="14" t="n"/>
      <c r="C115" s="15" t="n"/>
      <c r="D115" s="56" t="n"/>
      <c r="E115" s="56" t="n"/>
      <c r="F115" s="17" t="n"/>
      <c r="G115" s="18">
        <f>IF(D115="Tandem",10,IF(D115="TT",22,IF(D115="Quad",25,"")))</f>
        <v/>
      </c>
      <c r="H115" s="19">
        <f>IFERROR(IF(F115*G115=0,0,F115*G115),0)</f>
        <v/>
      </c>
      <c r="I115" s="20" t="n"/>
      <c r="J115" s="57" t="n"/>
      <c r="K115" s="14" t="n"/>
      <c r="L115" s="22" t="n"/>
      <c r="M115" s="58" t="n"/>
      <c r="N115" s="22" t="n"/>
      <c r="O115" s="24">
        <f>IFERROR(IF(OR(M115="",M115=0),0,H115*VALUE(SUBSTITUTE(M115&amp;"","$",""))),0)</f>
        <v/>
      </c>
    </row>
    <row r="116" outlineLevel="1" ht="16" customHeight="1">
      <c r="A116" s="13" t="n"/>
      <c r="B116" s="25" t="n"/>
      <c r="C116" s="26" t="n"/>
      <c r="D116" s="56" t="n"/>
      <c r="E116" s="56" t="n"/>
      <c r="F116" s="27" t="n"/>
      <c r="G116" s="18">
        <f>IF(D116="Tandem",10,IF(D116="TT",22,IF(D116="Quad",25,"")))</f>
        <v/>
      </c>
      <c r="H116" s="28">
        <f>IFERROR(IF(F116*G116=0,0,F116*G116),0)</f>
        <v/>
      </c>
      <c r="I116" s="29" t="n"/>
      <c r="J116" s="57" t="n"/>
      <c r="K116" s="25" t="n"/>
      <c r="L116" s="30" t="n"/>
      <c r="M116" s="58" t="n"/>
      <c r="N116" s="30" t="n"/>
      <c r="O116" s="24">
        <f>IFERROR(IF(OR(M116="",M116=0),0,H116*VALUE(SUBSTITUTE(M116&amp;"","$",""))),0)</f>
        <v/>
      </c>
    </row>
    <row r="117" outlineLevel="1" ht="16" customHeight="1">
      <c r="A117" s="13" t="n"/>
      <c r="B117" s="14" t="n"/>
      <c r="C117" s="15" t="n"/>
      <c r="D117" s="56" t="n"/>
      <c r="E117" s="56" t="n"/>
      <c r="F117" s="17" t="n"/>
      <c r="G117" s="18">
        <f>IF(D117="Tandem",10,IF(D117="TT",22,IF(D117="Quad",25,"")))</f>
        <v/>
      </c>
      <c r="H117" s="19">
        <f>IFERROR(IF(F117*G117=0,0,F117*G117),0)</f>
        <v/>
      </c>
      <c r="I117" s="20" t="n"/>
      <c r="J117" s="57" t="n"/>
      <c r="K117" s="14" t="n"/>
      <c r="L117" s="22" t="n"/>
      <c r="M117" s="58" t="n"/>
      <c r="N117" s="22" t="n"/>
      <c r="O117" s="24">
        <f>IFERROR(IF(OR(M117="",M117=0),0,H117*VALUE(SUBSTITUTE(M117&amp;"","$",""))),0)</f>
        <v/>
      </c>
    </row>
    <row r="118" outlineLevel="1" ht="16" customHeight="1">
      <c r="A118" s="13" t="n"/>
      <c r="B118" s="25" t="n"/>
      <c r="C118" s="26" t="n"/>
      <c r="D118" s="56" t="n"/>
      <c r="E118" s="56" t="n"/>
      <c r="F118" s="27" t="n"/>
      <c r="G118" s="18">
        <f>IF(D118="Tandem",10,IF(D118="TT",22,IF(D118="Quad",25,"")))</f>
        <v/>
      </c>
      <c r="H118" s="28">
        <f>IFERROR(IF(F118*G118=0,0,F118*G118),0)</f>
        <v/>
      </c>
      <c r="I118" s="29" t="n"/>
      <c r="J118" s="57" t="n"/>
      <c r="K118" s="25" t="n"/>
      <c r="L118" s="30" t="n"/>
      <c r="M118" s="58" t="n"/>
      <c r="N118" s="30" t="n"/>
      <c r="O118" s="24">
        <f>IFERROR(IF(OR(M118="",M118=0),0,H118*VALUE(SUBSTITUTE(M118&amp;"","$",""))),0)</f>
        <v/>
      </c>
    </row>
    <row r="119" outlineLevel="1" ht="16" customHeight="1">
      <c r="A119" s="13" t="n"/>
      <c r="B119" s="14" t="n"/>
      <c r="C119" s="15" t="n"/>
      <c r="D119" s="56" t="n"/>
      <c r="E119" s="56" t="n"/>
      <c r="F119" s="17" t="n"/>
      <c r="G119" s="18">
        <f>IF(D119="Tandem",10,IF(D119="TT",22,IF(D119="Quad",25,"")))</f>
        <v/>
      </c>
      <c r="H119" s="19">
        <f>IFERROR(IF(F119*G119=0,0,F119*G119),0)</f>
        <v/>
      </c>
      <c r="I119" s="20" t="n"/>
      <c r="J119" s="57" t="n"/>
      <c r="K119" s="14" t="n"/>
      <c r="L119" s="22" t="n"/>
      <c r="M119" s="58" t="n"/>
      <c r="N119" s="22" t="n"/>
      <c r="O119" s="24">
        <f>IFERROR(IF(OR(M119="",M119=0),0,H119*VALUE(SUBSTITUTE(M119&amp;"","$",""))),0)</f>
        <v/>
      </c>
    </row>
    <row r="120" outlineLevel="1" ht="16" customHeight="1">
      <c r="A120" s="13" t="n"/>
      <c r="B120" s="25" t="n"/>
      <c r="C120" s="26" t="n"/>
      <c r="D120" s="56" t="n"/>
      <c r="E120" s="56" t="n"/>
      <c r="F120" s="27" t="n"/>
      <c r="G120" s="18">
        <f>IF(D120="Tandem",10,IF(D120="TT",22,IF(D120="Quad",25,"")))</f>
        <v/>
      </c>
      <c r="H120" s="28">
        <f>IFERROR(IF(F120*G120=0,0,F120*G120),0)</f>
        <v/>
      </c>
      <c r="I120" s="29" t="n"/>
      <c r="J120" s="57" t="n"/>
      <c r="K120" s="25" t="n"/>
      <c r="L120" s="30" t="n"/>
      <c r="M120" s="58" t="n"/>
      <c r="N120" s="30" t="n"/>
      <c r="O120" s="24">
        <f>IFERROR(IF(OR(M120="",M120=0),0,H120*VALUE(SUBSTITUTE(M120&amp;"","$",""))),0)</f>
        <v/>
      </c>
    </row>
    <row r="121" outlineLevel="1" ht="20" customHeight="1">
      <c r="A121" s="59" t="inlineStr">
        <is>
          <t>Daily Notes:</t>
        </is>
      </c>
      <c r="B121" s="54" t="n"/>
      <c r="C121" s="54" t="n"/>
      <c r="D121" s="54" t="n"/>
      <c r="E121" s="54" t="n"/>
      <c r="F121" s="54" t="n"/>
      <c r="G121" s="54" t="n"/>
      <c r="H121" s="54" t="n"/>
      <c r="I121" s="54" t="n"/>
      <c r="J121" s="54" t="n"/>
      <c r="K121" s="54" t="n"/>
      <c r="L121" s="54" t="n"/>
      <c r="M121" s="54" t="n"/>
      <c r="N121" s="50" t="n"/>
      <c r="O121" s="60" t="n"/>
    </row>
    <row r="122" outlineLevel="1" ht="18" customHeight="1">
      <c r="A122" s="32" t="inlineStr">
        <is>
          <t>DAILY TOTAL</t>
        </is>
      </c>
      <c r="B122" s="54" t="n"/>
      <c r="C122" s="54" t="n"/>
      <c r="D122" s="54" t="n"/>
      <c r="E122" s="54" t="n"/>
      <c r="F122" s="54" t="n"/>
      <c r="G122" s="50" t="n"/>
      <c r="H122" s="34">
        <f>SUM(H91:H120)</f>
        <v/>
      </c>
      <c r="I122" s="35">
        <f>SUM(I91:I120)</f>
        <v/>
      </c>
      <c r="J122" s="61" t="n"/>
      <c r="K122" s="61" t="n"/>
      <c r="L122" s="61" t="n"/>
      <c r="M122" s="36">
        <f>SUM(O91:O120)</f>
        <v/>
      </c>
      <c r="N122" s="61" t="n"/>
      <c r="O122" s="62" t="n"/>
    </row>
    <row r="123" outlineLevel="1" ht="18" customHeight="1">
      <c r="A123" s="2" t="inlineStr">
        <is>
          <t>▶ RUNNING TOTAL</t>
        </is>
      </c>
      <c r="B123" s="54" t="n"/>
      <c r="C123" s="54" t="n"/>
      <c r="D123" s="54" t="n"/>
      <c r="E123" s="54" t="n"/>
      <c r="F123" s="54" t="n"/>
      <c r="G123" s="50" t="n"/>
      <c r="H123" s="37">
        <f>H50+H86+H122</f>
        <v/>
      </c>
      <c r="I123" s="63" t="n"/>
      <c r="J123" s="63" t="n"/>
      <c r="K123" s="63" t="n"/>
      <c r="L123" s="63" t="n"/>
      <c r="M123" s="38">
        <f>M50+M86+M122</f>
        <v/>
      </c>
      <c r="N123" s="63" t="n"/>
      <c r="O123" s="64" t="n"/>
    </row>
    <row r="124" outlineLevel="1" ht="8" customHeight="1"/>
    <row r="125" ht="22" customHeight="1">
      <c r="A125" s="55" t="inlineStr">
        <is>
          <t>DAY 4</t>
        </is>
      </c>
      <c r="B125" s="54" t="n"/>
      <c r="C125" s="54" t="n"/>
      <c r="D125" s="54" t="n"/>
      <c r="E125" s="54" t="n"/>
      <c r="F125" s="54" t="n"/>
      <c r="G125" s="54" t="n"/>
      <c r="H125" s="54" t="n"/>
      <c r="I125" s="54" t="n"/>
      <c r="J125" s="54" t="n"/>
      <c r="K125" s="54" t="n"/>
      <c r="L125" s="54" t="n"/>
      <c r="M125" s="54" t="n"/>
      <c r="N125" s="50" t="n"/>
    </row>
    <row r="126" outlineLevel="1" ht="28" customHeight="1">
      <c r="A126" s="12" t="inlineStr">
        <is>
          <t>Date</t>
        </is>
      </c>
      <c r="B126" s="12" t="inlineStr">
        <is>
          <t>Cartage Company</t>
        </is>
      </c>
      <c r="C126" s="12" t="inlineStr">
        <is>
          <t>Truck Rego</t>
        </is>
      </c>
      <c r="D126" s="12" t="inlineStr">
        <is>
          <t>Truck Type</t>
        </is>
      </c>
      <c r="E126" s="12" t="inlineStr">
        <is>
          <t>Exp / Imp</t>
        </is>
      </c>
      <c r="F126" s="12" t="inlineStr">
        <is>
          <t>Loads</t>
        </is>
      </c>
      <c r="G126" s="12" t="inlineStr">
        <is>
          <t>m³ / Load</t>
        </is>
      </c>
      <c r="H126" s="12" t="inlineStr">
        <is>
          <t>Total m³</t>
        </is>
      </c>
      <c r="I126" s="12" t="inlineStr">
        <is>
          <t>Hours</t>
        </is>
      </c>
      <c r="J126" s="12" t="inlineStr">
        <is>
          <t>Material</t>
        </is>
      </c>
      <c r="K126" s="12" t="inlineStr">
        <is>
          <t>Tip Site</t>
        </is>
      </c>
      <c r="L126" s="12" t="inlineStr">
        <is>
          <t>Docket #</t>
        </is>
      </c>
      <c r="M126" s="12" t="inlineStr">
        <is>
          <t>Rate Paid ($/m³)</t>
        </is>
      </c>
      <c r="N126" s="12" t="inlineStr">
        <is>
          <t>Invoice #</t>
        </is>
      </c>
    </row>
    <row r="127" outlineLevel="1" ht="16" customHeight="1">
      <c r="A127" s="13" t="n"/>
      <c r="B127" s="14" t="n"/>
      <c r="C127" s="15" t="n"/>
      <c r="D127" s="56" t="n"/>
      <c r="E127" s="56" t="n"/>
      <c r="F127" s="17" t="n"/>
      <c r="G127" s="18">
        <f>IF(D127="Tandem",10,IF(D127="TT",22,IF(D127="Quad",25,"")))</f>
        <v/>
      </c>
      <c r="H127" s="19">
        <f>IFERROR(IF(F127*G127=0,0,F127*G127),0)</f>
        <v/>
      </c>
      <c r="I127" s="20" t="n"/>
      <c r="J127" s="57" t="n"/>
      <c r="K127" s="14" t="n"/>
      <c r="L127" s="22" t="n"/>
      <c r="M127" s="58" t="n"/>
      <c r="N127" s="22" t="n"/>
      <c r="O127" s="24">
        <f>IFERROR(IF(OR(M127="",M127=0),0,H127*VALUE(SUBSTITUTE(M127&amp;"","$",""))),0)</f>
        <v/>
      </c>
    </row>
    <row r="128" outlineLevel="1" ht="16" customHeight="1">
      <c r="A128" s="13" t="n"/>
      <c r="B128" s="25" t="n"/>
      <c r="C128" s="26" t="n"/>
      <c r="D128" s="56" t="n"/>
      <c r="E128" s="56" t="n"/>
      <c r="F128" s="27" t="n"/>
      <c r="G128" s="18">
        <f>IF(D128="Tandem",10,IF(D128="TT",22,IF(D128="Quad",25,"")))</f>
        <v/>
      </c>
      <c r="H128" s="28">
        <f>IFERROR(IF(F128*G128=0,0,F128*G128),0)</f>
        <v/>
      </c>
      <c r="I128" s="29" t="n"/>
      <c r="J128" s="57" t="n"/>
      <c r="K128" s="25" t="n"/>
      <c r="L128" s="30" t="n"/>
      <c r="M128" s="58" t="n"/>
      <c r="N128" s="30" t="n"/>
      <c r="O128" s="24">
        <f>IFERROR(IF(OR(M128="",M128=0),0,H128*VALUE(SUBSTITUTE(M128&amp;"","$",""))),0)</f>
        <v/>
      </c>
    </row>
    <row r="129" outlineLevel="1" ht="16" customHeight="1">
      <c r="A129" s="13" t="n"/>
      <c r="B129" s="14" t="n"/>
      <c r="C129" s="15" t="n"/>
      <c r="D129" s="56" t="n"/>
      <c r="E129" s="56" t="n"/>
      <c r="F129" s="17" t="n"/>
      <c r="G129" s="18">
        <f>IF(D129="Tandem",10,IF(D129="TT",22,IF(D129="Quad",25,"")))</f>
        <v/>
      </c>
      <c r="H129" s="19">
        <f>IFERROR(IF(F129*G129=0,0,F129*G129),0)</f>
        <v/>
      </c>
      <c r="I129" s="20" t="n"/>
      <c r="J129" s="57" t="n"/>
      <c r="K129" s="14" t="n"/>
      <c r="L129" s="22" t="n"/>
      <c r="M129" s="58" t="n"/>
      <c r="N129" s="22" t="n"/>
      <c r="O129" s="24">
        <f>IFERROR(IF(OR(M129="",M129=0),0,H129*VALUE(SUBSTITUTE(M129&amp;"","$",""))),0)</f>
        <v/>
      </c>
    </row>
    <row r="130" outlineLevel="1" ht="16" customHeight="1">
      <c r="A130" s="13" t="n"/>
      <c r="B130" s="25" t="n"/>
      <c r="C130" s="26" t="n"/>
      <c r="D130" s="56" t="n"/>
      <c r="E130" s="56" t="n"/>
      <c r="F130" s="27" t="n"/>
      <c r="G130" s="18">
        <f>IF(D130="Tandem",10,IF(D130="TT",22,IF(D130="Quad",25,"")))</f>
        <v/>
      </c>
      <c r="H130" s="28">
        <f>IFERROR(IF(F130*G130=0,0,F130*G130),0)</f>
        <v/>
      </c>
      <c r="I130" s="29" t="n"/>
      <c r="J130" s="57" t="n"/>
      <c r="K130" s="25" t="n"/>
      <c r="L130" s="30" t="n"/>
      <c r="M130" s="58" t="n"/>
      <c r="N130" s="30" t="n"/>
      <c r="O130" s="24">
        <f>IFERROR(IF(OR(M130="",M130=0),0,H130*VALUE(SUBSTITUTE(M130&amp;"","$",""))),0)</f>
        <v/>
      </c>
    </row>
    <row r="131" outlineLevel="1" ht="16" customHeight="1">
      <c r="A131" s="13" t="n"/>
      <c r="B131" s="14" t="n"/>
      <c r="C131" s="15" t="n"/>
      <c r="D131" s="56" t="n"/>
      <c r="E131" s="56" t="n"/>
      <c r="F131" s="17" t="n"/>
      <c r="G131" s="18">
        <f>IF(D131="Tandem",10,IF(D131="TT",22,IF(D131="Quad",25,"")))</f>
        <v/>
      </c>
      <c r="H131" s="19">
        <f>IFERROR(IF(F131*G131=0,0,F131*G131),0)</f>
        <v/>
      </c>
      <c r="I131" s="20" t="n"/>
      <c r="J131" s="57" t="n"/>
      <c r="K131" s="14" t="n"/>
      <c r="L131" s="22" t="n"/>
      <c r="M131" s="58" t="n"/>
      <c r="N131" s="22" t="n"/>
      <c r="O131" s="24">
        <f>IFERROR(IF(OR(M131="",M131=0),0,H131*VALUE(SUBSTITUTE(M131&amp;"","$",""))),0)</f>
        <v/>
      </c>
    </row>
    <row r="132" outlineLevel="1" ht="16" customHeight="1">
      <c r="A132" s="13" t="n"/>
      <c r="B132" s="25" t="n"/>
      <c r="C132" s="26" t="n"/>
      <c r="D132" s="56" t="n"/>
      <c r="E132" s="56" t="n"/>
      <c r="F132" s="27" t="n"/>
      <c r="G132" s="18">
        <f>IF(D132="Tandem",10,IF(D132="TT",22,IF(D132="Quad",25,"")))</f>
        <v/>
      </c>
      <c r="H132" s="28">
        <f>IFERROR(IF(F132*G132=0,0,F132*G132),0)</f>
        <v/>
      </c>
      <c r="I132" s="29" t="n"/>
      <c r="J132" s="57" t="n"/>
      <c r="K132" s="25" t="n"/>
      <c r="L132" s="30" t="n"/>
      <c r="M132" s="58" t="n"/>
      <c r="N132" s="30" t="n"/>
      <c r="O132" s="24">
        <f>IFERROR(IF(OR(M132="",M132=0),0,H132*VALUE(SUBSTITUTE(M132&amp;"","$",""))),0)</f>
        <v/>
      </c>
    </row>
    <row r="133" outlineLevel="1" ht="16" customHeight="1">
      <c r="A133" s="13" t="n"/>
      <c r="B133" s="14" t="n"/>
      <c r="C133" s="15" t="n"/>
      <c r="D133" s="56" t="n"/>
      <c r="E133" s="56" t="n"/>
      <c r="F133" s="17" t="n"/>
      <c r="G133" s="18">
        <f>IF(D133="Tandem",10,IF(D133="TT",22,IF(D133="Quad",25,"")))</f>
        <v/>
      </c>
      <c r="H133" s="19">
        <f>IFERROR(IF(F133*G133=0,0,F133*G133),0)</f>
        <v/>
      </c>
      <c r="I133" s="20" t="n"/>
      <c r="J133" s="57" t="n"/>
      <c r="K133" s="14" t="n"/>
      <c r="L133" s="22" t="n"/>
      <c r="M133" s="58" t="n"/>
      <c r="N133" s="22" t="n"/>
      <c r="O133" s="24">
        <f>IFERROR(IF(OR(M133="",M133=0),0,H133*VALUE(SUBSTITUTE(M133&amp;"","$",""))),0)</f>
        <v/>
      </c>
    </row>
    <row r="134" outlineLevel="1" ht="16" customHeight="1">
      <c r="A134" s="13" t="n"/>
      <c r="B134" s="25" t="n"/>
      <c r="C134" s="26" t="n"/>
      <c r="D134" s="56" t="n"/>
      <c r="E134" s="56" t="n"/>
      <c r="F134" s="27" t="n"/>
      <c r="G134" s="18">
        <f>IF(D134="Tandem",10,IF(D134="TT",22,IF(D134="Quad",25,"")))</f>
        <v/>
      </c>
      <c r="H134" s="28">
        <f>IFERROR(IF(F134*G134=0,0,F134*G134),0)</f>
        <v/>
      </c>
      <c r="I134" s="29" t="n"/>
      <c r="J134" s="57" t="n"/>
      <c r="K134" s="25" t="n"/>
      <c r="L134" s="30" t="n"/>
      <c r="M134" s="58" t="n"/>
      <c r="N134" s="30" t="n"/>
      <c r="O134" s="24">
        <f>IFERROR(IF(OR(M134="",M134=0),0,H134*VALUE(SUBSTITUTE(M134&amp;"","$",""))),0)</f>
        <v/>
      </c>
    </row>
    <row r="135" outlineLevel="1" ht="16" customHeight="1">
      <c r="A135" s="13" t="n"/>
      <c r="B135" s="14" t="n"/>
      <c r="C135" s="15" t="n"/>
      <c r="D135" s="56" t="n"/>
      <c r="E135" s="56" t="n"/>
      <c r="F135" s="17" t="n"/>
      <c r="G135" s="18">
        <f>IF(D135="Tandem",10,IF(D135="TT",22,IF(D135="Quad",25,"")))</f>
        <v/>
      </c>
      <c r="H135" s="19">
        <f>IFERROR(IF(F135*G135=0,0,F135*G135),0)</f>
        <v/>
      </c>
      <c r="I135" s="20" t="n"/>
      <c r="J135" s="57" t="n"/>
      <c r="K135" s="14" t="n"/>
      <c r="L135" s="22" t="n"/>
      <c r="M135" s="58" t="n"/>
      <c r="N135" s="22" t="n"/>
      <c r="O135" s="24">
        <f>IFERROR(IF(OR(M135="",M135=0),0,H135*VALUE(SUBSTITUTE(M135&amp;"","$",""))),0)</f>
        <v/>
      </c>
    </row>
    <row r="136" outlineLevel="1" ht="16" customHeight="1">
      <c r="A136" s="13" t="n"/>
      <c r="B136" s="25" t="n"/>
      <c r="C136" s="26" t="n"/>
      <c r="D136" s="56" t="n"/>
      <c r="E136" s="56" t="n"/>
      <c r="F136" s="27" t="n"/>
      <c r="G136" s="18">
        <f>IF(D136="Tandem",10,IF(D136="TT",22,IF(D136="Quad",25,"")))</f>
        <v/>
      </c>
      <c r="H136" s="28">
        <f>IFERROR(IF(F136*G136=0,0,F136*G136),0)</f>
        <v/>
      </c>
      <c r="I136" s="29" t="n"/>
      <c r="J136" s="57" t="n"/>
      <c r="K136" s="25" t="n"/>
      <c r="L136" s="30" t="n"/>
      <c r="M136" s="58" t="n"/>
      <c r="N136" s="30" t="n"/>
      <c r="O136" s="24">
        <f>IFERROR(IF(OR(M136="",M136=0),0,H136*VALUE(SUBSTITUTE(M136&amp;"","$",""))),0)</f>
        <v/>
      </c>
    </row>
    <row r="137" outlineLevel="1" ht="16" customHeight="1">
      <c r="A137" s="13" t="n"/>
      <c r="B137" s="14" t="n"/>
      <c r="C137" s="15" t="n"/>
      <c r="D137" s="56" t="n"/>
      <c r="E137" s="56" t="n"/>
      <c r="F137" s="17" t="n"/>
      <c r="G137" s="18">
        <f>IF(D137="Tandem",10,IF(D137="TT",22,IF(D137="Quad",25,"")))</f>
        <v/>
      </c>
      <c r="H137" s="19">
        <f>IFERROR(IF(F137*G137=0,0,F137*G137),0)</f>
        <v/>
      </c>
      <c r="I137" s="20" t="n"/>
      <c r="J137" s="57" t="n"/>
      <c r="K137" s="14" t="n"/>
      <c r="L137" s="22" t="n"/>
      <c r="M137" s="58" t="n"/>
      <c r="N137" s="22" t="n"/>
      <c r="O137" s="24">
        <f>IFERROR(IF(OR(M137="",M137=0),0,H137*VALUE(SUBSTITUTE(M137&amp;"","$",""))),0)</f>
        <v/>
      </c>
    </row>
    <row r="138" outlineLevel="1" ht="16" customHeight="1">
      <c r="A138" s="13" t="n"/>
      <c r="B138" s="25" t="n"/>
      <c r="C138" s="26" t="n"/>
      <c r="D138" s="56" t="n"/>
      <c r="E138" s="56" t="n"/>
      <c r="F138" s="27" t="n"/>
      <c r="G138" s="18">
        <f>IF(D138="Tandem",10,IF(D138="TT",22,IF(D138="Quad",25,"")))</f>
        <v/>
      </c>
      <c r="H138" s="28">
        <f>IFERROR(IF(F138*G138=0,0,F138*G138),0)</f>
        <v/>
      </c>
      <c r="I138" s="29" t="n"/>
      <c r="J138" s="57" t="n"/>
      <c r="K138" s="25" t="n"/>
      <c r="L138" s="30" t="n"/>
      <c r="M138" s="58" t="n"/>
      <c r="N138" s="30" t="n"/>
      <c r="O138" s="24">
        <f>IFERROR(IF(OR(M138="",M138=0),0,H138*VALUE(SUBSTITUTE(M138&amp;"","$",""))),0)</f>
        <v/>
      </c>
    </row>
    <row r="139" outlineLevel="1" ht="16" customHeight="1">
      <c r="A139" s="13" t="n"/>
      <c r="B139" s="14" t="n"/>
      <c r="C139" s="15" t="n"/>
      <c r="D139" s="56" t="n"/>
      <c r="E139" s="56" t="n"/>
      <c r="F139" s="17" t="n"/>
      <c r="G139" s="18">
        <f>IF(D139="Tandem",10,IF(D139="TT",22,IF(D139="Quad",25,"")))</f>
        <v/>
      </c>
      <c r="H139" s="19">
        <f>IFERROR(IF(F139*G139=0,0,F139*G139),0)</f>
        <v/>
      </c>
      <c r="I139" s="20" t="n"/>
      <c r="J139" s="57" t="n"/>
      <c r="K139" s="14" t="n"/>
      <c r="L139" s="22" t="n"/>
      <c r="M139" s="58" t="n"/>
      <c r="N139" s="22" t="n"/>
      <c r="O139" s="24">
        <f>IFERROR(IF(OR(M139="",M139=0),0,H139*VALUE(SUBSTITUTE(M139&amp;"","$",""))),0)</f>
        <v/>
      </c>
    </row>
    <row r="140" outlineLevel="1" ht="16" customHeight="1">
      <c r="A140" s="13" t="n"/>
      <c r="B140" s="25" t="n"/>
      <c r="C140" s="26" t="n"/>
      <c r="D140" s="56" t="n"/>
      <c r="E140" s="56" t="n"/>
      <c r="F140" s="27" t="n"/>
      <c r="G140" s="18">
        <f>IF(D140="Tandem",10,IF(D140="TT",22,IF(D140="Quad",25,"")))</f>
        <v/>
      </c>
      <c r="H140" s="28">
        <f>IFERROR(IF(F140*G140=0,0,F140*G140),0)</f>
        <v/>
      </c>
      <c r="I140" s="29" t="n"/>
      <c r="J140" s="57" t="n"/>
      <c r="K140" s="25" t="n"/>
      <c r="L140" s="30" t="n"/>
      <c r="M140" s="58" t="n"/>
      <c r="N140" s="30" t="n"/>
      <c r="O140" s="24">
        <f>IFERROR(IF(OR(M140="",M140=0),0,H140*VALUE(SUBSTITUTE(M140&amp;"","$",""))),0)</f>
        <v/>
      </c>
    </row>
    <row r="141" outlineLevel="1" ht="16" customHeight="1">
      <c r="A141" s="13" t="n"/>
      <c r="B141" s="14" t="n"/>
      <c r="C141" s="15" t="n"/>
      <c r="D141" s="56" t="n"/>
      <c r="E141" s="56" t="n"/>
      <c r="F141" s="17" t="n"/>
      <c r="G141" s="18">
        <f>IF(D141="Tandem",10,IF(D141="TT",22,IF(D141="Quad",25,"")))</f>
        <v/>
      </c>
      <c r="H141" s="19">
        <f>IFERROR(IF(F141*G141=0,0,F141*G141),0)</f>
        <v/>
      </c>
      <c r="I141" s="20" t="n"/>
      <c r="J141" s="57" t="n"/>
      <c r="K141" s="14" t="n"/>
      <c r="L141" s="22" t="n"/>
      <c r="M141" s="58" t="n"/>
      <c r="N141" s="22" t="n"/>
      <c r="O141" s="24">
        <f>IFERROR(IF(OR(M141="",M141=0),0,H141*VALUE(SUBSTITUTE(M141&amp;"","$",""))),0)</f>
        <v/>
      </c>
    </row>
    <row r="142" outlineLevel="1" ht="16" customHeight="1">
      <c r="A142" s="13" t="n"/>
      <c r="B142" s="25" t="n"/>
      <c r="C142" s="26" t="n"/>
      <c r="D142" s="56" t="n"/>
      <c r="E142" s="56" t="n"/>
      <c r="F142" s="27" t="n"/>
      <c r="G142" s="18">
        <f>IF(D142="Tandem",10,IF(D142="TT",22,IF(D142="Quad",25,"")))</f>
        <v/>
      </c>
      <c r="H142" s="28">
        <f>IFERROR(IF(F142*G142=0,0,F142*G142),0)</f>
        <v/>
      </c>
      <c r="I142" s="29" t="n"/>
      <c r="J142" s="57" t="n"/>
      <c r="K142" s="25" t="n"/>
      <c r="L142" s="30" t="n"/>
      <c r="M142" s="58" t="n"/>
      <c r="N142" s="30" t="n"/>
      <c r="O142" s="24">
        <f>IFERROR(IF(OR(M142="",M142=0),0,H142*VALUE(SUBSTITUTE(M142&amp;"","$",""))),0)</f>
        <v/>
      </c>
    </row>
    <row r="143" outlineLevel="1" ht="16" customHeight="1">
      <c r="A143" s="13" t="n"/>
      <c r="B143" s="14" t="n"/>
      <c r="C143" s="15" t="n"/>
      <c r="D143" s="56" t="n"/>
      <c r="E143" s="56" t="n"/>
      <c r="F143" s="17" t="n"/>
      <c r="G143" s="18">
        <f>IF(D143="Tandem",10,IF(D143="TT",22,IF(D143="Quad",25,"")))</f>
        <v/>
      </c>
      <c r="H143" s="19">
        <f>IFERROR(IF(F143*G143=0,0,F143*G143),0)</f>
        <v/>
      </c>
      <c r="I143" s="20" t="n"/>
      <c r="J143" s="57" t="n"/>
      <c r="K143" s="14" t="n"/>
      <c r="L143" s="22" t="n"/>
      <c r="M143" s="58" t="n"/>
      <c r="N143" s="22" t="n"/>
      <c r="O143" s="24">
        <f>IFERROR(IF(OR(M143="",M143=0),0,H143*VALUE(SUBSTITUTE(M143&amp;"","$",""))),0)</f>
        <v/>
      </c>
    </row>
    <row r="144" outlineLevel="1" ht="16" customHeight="1">
      <c r="A144" s="13" t="n"/>
      <c r="B144" s="25" t="n"/>
      <c r="C144" s="26" t="n"/>
      <c r="D144" s="56" t="n"/>
      <c r="E144" s="56" t="n"/>
      <c r="F144" s="27" t="n"/>
      <c r="G144" s="18">
        <f>IF(D144="Tandem",10,IF(D144="TT",22,IF(D144="Quad",25,"")))</f>
        <v/>
      </c>
      <c r="H144" s="28">
        <f>IFERROR(IF(F144*G144=0,0,F144*G144),0)</f>
        <v/>
      </c>
      <c r="I144" s="29" t="n"/>
      <c r="J144" s="57" t="n"/>
      <c r="K144" s="25" t="n"/>
      <c r="L144" s="30" t="n"/>
      <c r="M144" s="58" t="n"/>
      <c r="N144" s="30" t="n"/>
      <c r="O144" s="24">
        <f>IFERROR(IF(OR(M144="",M144=0),0,H144*VALUE(SUBSTITUTE(M144&amp;"","$",""))),0)</f>
        <v/>
      </c>
    </row>
    <row r="145" outlineLevel="1" ht="16" customHeight="1">
      <c r="A145" s="13" t="n"/>
      <c r="B145" s="14" t="n"/>
      <c r="C145" s="15" t="n"/>
      <c r="D145" s="56" t="n"/>
      <c r="E145" s="56" t="n"/>
      <c r="F145" s="17" t="n"/>
      <c r="G145" s="18">
        <f>IF(D145="Tandem",10,IF(D145="TT",22,IF(D145="Quad",25,"")))</f>
        <v/>
      </c>
      <c r="H145" s="19">
        <f>IFERROR(IF(F145*G145=0,0,F145*G145),0)</f>
        <v/>
      </c>
      <c r="I145" s="20" t="n"/>
      <c r="J145" s="57" t="n"/>
      <c r="K145" s="14" t="n"/>
      <c r="L145" s="22" t="n"/>
      <c r="M145" s="58" t="n"/>
      <c r="N145" s="22" t="n"/>
      <c r="O145" s="24">
        <f>IFERROR(IF(OR(M145="",M145=0),0,H145*VALUE(SUBSTITUTE(M145&amp;"","$",""))),0)</f>
        <v/>
      </c>
    </row>
    <row r="146" outlineLevel="1" ht="16" customHeight="1">
      <c r="A146" s="13" t="n"/>
      <c r="B146" s="25" t="n"/>
      <c r="C146" s="26" t="n"/>
      <c r="D146" s="56" t="n"/>
      <c r="E146" s="56" t="n"/>
      <c r="F146" s="27" t="n"/>
      <c r="G146" s="18">
        <f>IF(D146="Tandem",10,IF(D146="TT",22,IF(D146="Quad",25,"")))</f>
        <v/>
      </c>
      <c r="H146" s="28">
        <f>IFERROR(IF(F146*G146=0,0,F146*G146),0)</f>
        <v/>
      </c>
      <c r="I146" s="29" t="n"/>
      <c r="J146" s="57" t="n"/>
      <c r="K146" s="25" t="n"/>
      <c r="L146" s="30" t="n"/>
      <c r="M146" s="58" t="n"/>
      <c r="N146" s="30" t="n"/>
      <c r="O146" s="24">
        <f>IFERROR(IF(OR(M146="",M146=0),0,H146*VALUE(SUBSTITUTE(M146&amp;"","$",""))),0)</f>
        <v/>
      </c>
    </row>
    <row r="147" outlineLevel="1" ht="16" customHeight="1">
      <c r="A147" s="13" t="n"/>
      <c r="B147" s="14" t="n"/>
      <c r="C147" s="15" t="n"/>
      <c r="D147" s="56" t="n"/>
      <c r="E147" s="56" t="n"/>
      <c r="F147" s="17" t="n"/>
      <c r="G147" s="18">
        <f>IF(D147="Tandem",10,IF(D147="TT",22,IF(D147="Quad",25,"")))</f>
        <v/>
      </c>
      <c r="H147" s="19">
        <f>IFERROR(IF(F147*G147=0,0,F147*G147),0)</f>
        <v/>
      </c>
      <c r="I147" s="20" t="n"/>
      <c r="J147" s="57" t="n"/>
      <c r="K147" s="14" t="n"/>
      <c r="L147" s="22" t="n"/>
      <c r="M147" s="58" t="n"/>
      <c r="N147" s="22" t="n"/>
      <c r="O147" s="24">
        <f>IFERROR(IF(OR(M147="",M147=0),0,H147*VALUE(SUBSTITUTE(M147&amp;"","$",""))),0)</f>
        <v/>
      </c>
    </row>
    <row r="148" outlineLevel="1" ht="16" customHeight="1">
      <c r="A148" s="13" t="n"/>
      <c r="B148" s="25" t="n"/>
      <c r="C148" s="26" t="n"/>
      <c r="D148" s="56" t="n"/>
      <c r="E148" s="56" t="n"/>
      <c r="F148" s="27" t="n"/>
      <c r="G148" s="18">
        <f>IF(D148="Tandem",10,IF(D148="TT",22,IF(D148="Quad",25,"")))</f>
        <v/>
      </c>
      <c r="H148" s="28">
        <f>IFERROR(IF(F148*G148=0,0,F148*G148),0)</f>
        <v/>
      </c>
      <c r="I148" s="29" t="n"/>
      <c r="J148" s="57" t="n"/>
      <c r="K148" s="25" t="n"/>
      <c r="L148" s="30" t="n"/>
      <c r="M148" s="58" t="n"/>
      <c r="N148" s="30" t="n"/>
      <c r="O148" s="24">
        <f>IFERROR(IF(OR(M148="",M148=0),0,H148*VALUE(SUBSTITUTE(M148&amp;"","$",""))),0)</f>
        <v/>
      </c>
    </row>
    <row r="149" outlineLevel="1" ht="16" customHeight="1">
      <c r="A149" s="13" t="n"/>
      <c r="B149" s="14" t="n"/>
      <c r="C149" s="15" t="n"/>
      <c r="D149" s="56" t="n"/>
      <c r="E149" s="56" t="n"/>
      <c r="F149" s="17" t="n"/>
      <c r="G149" s="18">
        <f>IF(D149="Tandem",10,IF(D149="TT",22,IF(D149="Quad",25,"")))</f>
        <v/>
      </c>
      <c r="H149" s="19">
        <f>IFERROR(IF(F149*G149=0,0,F149*G149),0)</f>
        <v/>
      </c>
      <c r="I149" s="20" t="n"/>
      <c r="J149" s="57" t="n"/>
      <c r="K149" s="14" t="n"/>
      <c r="L149" s="22" t="n"/>
      <c r="M149" s="58" t="n"/>
      <c r="N149" s="22" t="n"/>
      <c r="O149" s="24">
        <f>IFERROR(IF(OR(M149="",M149=0),0,H149*VALUE(SUBSTITUTE(M149&amp;"","$",""))),0)</f>
        <v/>
      </c>
    </row>
    <row r="150" outlineLevel="1" ht="16" customHeight="1">
      <c r="A150" s="13" t="n"/>
      <c r="B150" s="25" t="n"/>
      <c r="C150" s="26" t="n"/>
      <c r="D150" s="56" t="n"/>
      <c r="E150" s="56" t="n"/>
      <c r="F150" s="27" t="n"/>
      <c r="G150" s="18">
        <f>IF(D150="Tandem",10,IF(D150="TT",22,IF(D150="Quad",25,"")))</f>
        <v/>
      </c>
      <c r="H150" s="28">
        <f>IFERROR(IF(F150*G150=0,0,F150*G150),0)</f>
        <v/>
      </c>
      <c r="I150" s="29" t="n"/>
      <c r="J150" s="57" t="n"/>
      <c r="K150" s="25" t="n"/>
      <c r="L150" s="30" t="n"/>
      <c r="M150" s="58" t="n"/>
      <c r="N150" s="30" t="n"/>
      <c r="O150" s="24">
        <f>IFERROR(IF(OR(M150="",M150=0),0,H150*VALUE(SUBSTITUTE(M150&amp;"","$",""))),0)</f>
        <v/>
      </c>
    </row>
    <row r="151" outlineLevel="1" ht="16" customHeight="1">
      <c r="A151" s="13" t="n"/>
      <c r="B151" s="14" t="n"/>
      <c r="C151" s="15" t="n"/>
      <c r="D151" s="56" t="n"/>
      <c r="E151" s="56" t="n"/>
      <c r="F151" s="17" t="n"/>
      <c r="G151" s="18">
        <f>IF(D151="Tandem",10,IF(D151="TT",22,IF(D151="Quad",25,"")))</f>
        <v/>
      </c>
      <c r="H151" s="19">
        <f>IFERROR(IF(F151*G151=0,0,F151*G151),0)</f>
        <v/>
      </c>
      <c r="I151" s="20" t="n"/>
      <c r="J151" s="57" t="n"/>
      <c r="K151" s="14" t="n"/>
      <c r="L151" s="22" t="n"/>
      <c r="M151" s="58" t="n"/>
      <c r="N151" s="22" t="n"/>
      <c r="O151" s="24">
        <f>IFERROR(IF(OR(M151="",M151=0),0,H151*VALUE(SUBSTITUTE(M151&amp;"","$",""))),0)</f>
        <v/>
      </c>
    </row>
    <row r="152" outlineLevel="1" ht="16" customHeight="1">
      <c r="A152" s="13" t="n"/>
      <c r="B152" s="25" t="n"/>
      <c r="C152" s="26" t="n"/>
      <c r="D152" s="56" t="n"/>
      <c r="E152" s="56" t="n"/>
      <c r="F152" s="27" t="n"/>
      <c r="G152" s="18">
        <f>IF(D152="Tandem",10,IF(D152="TT",22,IF(D152="Quad",25,"")))</f>
        <v/>
      </c>
      <c r="H152" s="28">
        <f>IFERROR(IF(F152*G152=0,0,F152*G152),0)</f>
        <v/>
      </c>
      <c r="I152" s="29" t="n"/>
      <c r="J152" s="57" t="n"/>
      <c r="K152" s="25" t="n"/>
      <c r="L152" s="30" t="n"/>
      <c r="M152" s="58" t="n"/>
      <c r="N152" s="30" t="n"/>
      <c r="O152" s="24">
        <f>IFERROR(IF(OR(M152="",M152=0),0,H152*VALUE(SUBSTITUTE(M152&amp;"","$",""))),0)</f>
        <v/>
      </c>
    </row>
    <row r="153" outlineLevel="1" ht="16" customHeight="1">
      <c r="A153" s="13" t="n"/>
      <c r="B153" s="14" t="n"/>
      <c r="C153" s="15" t="n"/>
      <c r="D153" s="56" t="n"/>
      <c r="E153" s="56" t="n"/>
      <c r="F153" s="17" t="n"/>
      <c r="G153" s="18">
        <f>IF(D153="Tandem",10,IF(D153="TT",22,IF(D153="Quad",25,"")))</f>
        <v/>
      </c>
      <c r="H153" s="19">
        <f>IFERROR(IF(F153*G153=0,0,F153*G153),0)</f>
        <v/>
      </c>
      <c r="I153" s="20" t="n"/>
      <c r="J153" s="57" t="n"/>
      <c r="K153" s="14" t="n"/>
      <c r="L153" s="22" t="n"/>
      <c r="M153" s="58" t="n"/>
      <c r="N153" s="22" t="n"/>
      <c r="O153" s="24">
        <f>IFERROR(IF(OR(M153="",M153=0),0,H153*VALUE(SUBSTITUTE(M153&amp;"","$",""))),0)</f>
        <v/>
      </c>
    </row>
    <row r="154" outlineLevel="1" ht="16" customHeight="1">
      <c r="A154" s="13" t="n"/>
      <c r="B154" s="25" t="n"/>
      <c r="C154" s="26" t="n"/>
      <c r="D154" s="56" t="n"/>
      <c r="E154" s="56" t="n"/>
      <c r="F154" s="27" t="n"/>
      <c r="G154" s="18">
        <f>IF(D154="Tandem",10,IF(D154="TT",22,IF(D154="Quad",25,"")))</f>
        <v/>
      </c>
      <c r="H154" s="28">
        <f>IFERROR(IF(F154*G154=0,0,F154*G154),0)</f>
        <v/>
      </c>
      <c r="I154" s="29" t="n"/>
      <c r="J154" s="57" t="n"/>
      <c r="K154" s="25" t="n"/>
      <c r="L154" s="30" t="n"/>
      <c r="M154" s="58" t="n"/>
      <c r="N154" s="30" t="n"/>
      <c r="O154" s="24">
        <f>IFERROR(IF(OR(M154="",M154=0),0,H154*VALUE(SUBSTITUTE(M154&amp;"","$",""))),0)</f>
        <v/>
      </c>
    </row>
    <row r="155" outlineLevel="1" ht="16" customHeight="1">
      <c r="A155" s="13" t="n"/>
      <c r="B155" s="14" t="n"/>
      <c r="C155" s="15" t="n"/>
      <c r="D155" s="56" t="n"/>
      <c r="E155" s="56" t="n"/>
      <c r="F155" s="17" t="n"/>
      <c r="G155" s="18">
        <f>IF(D155="Tandem",10,IF(D155="TT",22,IF(D155="Quad",25,"")))</f>
        <v/>
      </c>
      <c r="H155" s="19">
        <f>IFERROR(IF(F155*G155=0,0,F155*G155),0)</f>
        <v/>
      </c>
      <c r="I155" s="20" t="n"/>
      <c r="J155" s="57" t="n"/>
      <c r="K155" s="14" t="n"/>
      <c r="L155" s="22" t="n"/>
      <c r="M155" s="58" t="n"/>
      <c r="N155" s="22" t="n"/>
      <c r="O155" s="24">
        <f>IFERROR(IF(OR(M155="",M155=0),0,H155*VALUE(SUBSTITUTE(M155&amp;"","$",""))),0)</f>
        <v/>
      </c>
    </row>
    <row r="156" outlineLevel="1" ht="16" customHeight="1">
      <c r="A156" s="13" t="n"/>
      <c r="B156" s="25" t="n"/>
      <c r="C156" s="26" t="n"/>
      <c r="D156" s="56" t="n"/>
      <c r="E156" s="56" t="n"/>
      <c r="F156" s="27" t="n"/>
      <c r="G156" s="18">
        <f>IF(D156="Tandem",10,IF(D156="TT",22,IF(D156="Quad",25,"")))</f>
        <v/>
      </c>
      <c r="H156" s="28">
        <f>IFERROR(IF(F156*G156=0,0,F156*G156),0)</f>
        <v/>
      </c>
      <c r="I156" s="29" t="n"/>
      <c r="J156" s="57" t="n"/>
      <c r="K156" s="25" t="n"/>
      <c r="L156" s="30" t="n"/>
      <c r="M156" s="58" t="n"/>
      <c r="N156" s="30" t="n"/>
      <c r="O156" s="24">
        <f>IFERROR(IF(OR(M156="",M156=0),0,H156*VALUE(SUBSTITUTE(M156&amp;"","$",""))),0)</f>
        <v/>
      </c>
    </row>
    <row r="157" outlineLevel="1" ht="20" customHeight="1">
      <c r="A157" s="59" t="inlineStr">
        <is>
          <t>Daily Notes:</t>
        </is>
      </c>
      <c r="B157" s="54" t="n"/>
      <c r="C157" s="54" t="n"/>
      <c r="D157" s="54" t="n"/>
      <c r="E157" s="54" t="n"/>
      <c r="F157" s="54" t="n"/>
      <c r="G157" s="54" t="n"/>
      <c r="H157" s="54" t="n"/>
      <c r="I157" s="54" t="n"/>
      <c r="J157" s="54" t="n"/>
      <c r="K157" s="54" t="n"/>
      <c r="L157" s="54" t="n"/>
      <c r="M157" s="54" t="n"/>
      <c r="N157" s="50" t="n"/>
      <c r="O157" s="60" t="n"/>
    </row>
    <row r="158" outlineLevel="1" ht="18" customHeight="1">
      <c r="A158" s="32" t="inlineStr">
        <is>
          <t>DAILY TOTAL</t>
        </is>
      </c>
      <c r="B158" s="54" t="n"/>
      <c r="C158" s="54" t="n"/>
      <c r="D158" s="54" t="n"/>
      <c r="E158" s="54" t="n"/>
      <c r="F158" s="54" t="n"/>
      <c r="G158" s="50" t="n"/>
      <c r="H158" s="34">
        <f>SUM(H127:H156)</f>
        <v/>
      </c>
      <c r="I158" s="35">
        <f>SUM(I127:I156)</f>
        <v/>
      </c>
      <c r="J158" s="61" t="n"/>
      <c r="K158" s="61" t="n"/>
      <c r="L158" s="61" t="n"/>
      <c r="M158" s="36">
        <f>SUM(O127:O156)</f>
        <v/>
      </c>
      <c r="N158" s="61" t="n"/>
      <c r="O158" s="62" t="n"/>
    </row>
    <row r="159" outlineLevel="1" ht="18" customHeight="1">
      <c r="A159" s="2" t="inlineStr">
        <is>
          <t>▶ RUNNING TOTAL</t>
        </is>
      </c>
      <c r="B159" s="54" t="n"/>
      <c r="C159" s="54" t="n"/>
      <c r="D159" s="54" t="n"/>
      <c r="E159" s="54" t="n"/>
      <c r="F159" s="54" t="n"/>
      <c r="G159" s="50" t="n"/>
      <c r="H159" s="37">
        <f>H50+H86+H122+H158</f>
        <v/>
      </c>
      <c r="I159" s="63" t="n"/>
      <c r="J159" s="63" t="n"/>
      <c r="K159" s="63" t="n"/>
      <c r="L159" s="63" t="n"/>
      <c r="M159" s="38">
        <f>M50+M86+M122+M158</f>
        <v/>
      </c>
      <c r="N159" s="63" t="n"/>
      <c r="O159" s="64" t="n"/>
    </row>
    <row r="160" outlineLevel="1" ht="8" customHeight="1"/>
    <row r="161" ht="22" customHeight="1">
      <c r="A161" s="55" t="inlineStr">
        <is>
          <t>DAY 5</t>
        </is>
      </c>
      <c r="B161" s="54" t="n"/>
      <c r="C161" s="54" t="n"/>
      <c r="D161" s="54" t="n"/>
      <c r="E161" s="54" t="n"/>
      <c r="F161" s="54" t="n"/>
      <c r="G161" s="54" t="n"/>
      <c r="H161" s="54" t="n"/>
      <c r="I161" s="54" t="n"/>
      <c r="J161" s="54" t="n"/>
      <c r="K161" s="54" t="n"/>
      <c r="L161" s="54" t="n"/>
      <c r="M161" s="54" t="n"/>
      <c r="N161" s="50" t="n"/>
    </row>
    <row r="162" outlineLevel="1" ht="28" customHeight="1">
      <c r="A162" s="12" t="inlineStr">
        <is>
          <t>Date</t>
        </is>
      </c>
      <c r="B162" s="12" t="inlineStr">
        <is>
          <t>Cartage Company</t>
        </is>
      </c>
      <c r="C162" s="12" t="inlineStr">
        <is>
          <t>Truck Rego</t>
        </is>
      </c>
      <c r="D162" s="12" t="inlineStr">
        <is>
          <t>Truck Type</t>
        </is>
      </c>
      <c r="E162" s="12" t="inlineStr">
        <is>
          <t>Exp / Imp</t>
        </is>
      </c>
      <c r="F162" s="12" t="inlineStr">
        <is>
          <t>Loads</t>
        </is>
      </c>
      <c r="G162" s="12" t="inlineStr">
        <is>
          <t>m³ / Load</t>
        </is>
      </c>
      <c r="H162" s="12" t="inlineStr">
        <is>
          <t>Total m³</t>
        </is>
      </c>
      <c r="I162" s="12" t="inlineStr">
        <is>
          <t>Hours</t>
        </is>
      </c>
      <c r="J162" s="12" t="inlineStr">
        <is>
          <t>Material</t>
        </is>
      </c>
      <c r="K162" s="12" t="inlineStr">
        <is>
          <t>Tip Site</t>
        </is>
      </c>
      <c r="L162" s="12" t="inlineStr">
        <is>
          <t>Docket #</t>
        </is>
      </c>
      <c r="M162" s="12" t="inlineStr">
        <is>
          <t>Rate Paid ($/m³)</t>
        </is>
      </c>
      <c r="N162" s="12" t="inlineStr">
        <is>
          <t>Invoice #</t>
        </is>
      </c>
    </row>
    <row r="163" outlineLevel="1" ht="16" customHeight="1">
      <c r="A163" s="13" t="n"/>
      <c r="B163" s="14" t="n"/>
      <c r="C163" s="15" t="n"/>
      <c r="D163" s="56" t="n"/>
      <c r="E163" s="56" t="n"/>
      <c r="F163" s="17" t="n"/>
      <c r="G163" s="18">
        <f>IF(D163="Tandem",10,IF(D163="TT",22,IF(D163="Quad",25,"")))</f>
        <v/>
      </c>
      <c r="H163" s="19">
        <f>IFERROR(IF(F163*G163=0,0,F163*G163),0)</f>
        <v/>
      </c>
      <c r="I163" s="20" t="n"/>
      <c r="J163" s="57" t="n"/>
      <c r="K163" s="14" t="n"/>
      <c r="L163" s="22" t="n"/>
      <c r="M163" s="58" t="n"/>
      <c r="N163" s="22" t="n"/>
      <c r="O163" s="24">
        <f>IFERROR(IF(OR(M163="",M163=0),0,H163*VALUE(SUBSTITUTE(M163&amp;"","$",""))),0)</f>
        <v/>
      </c>
    </row>
    <row r="164" outlineLevel="1" ht="16" customHeight="1">
      <c r="A164" s="13" t="n"/>
      <c r="B164" s="25" t="n"/>
      <c r="C164" s="26" t="n"/>
      <c r="D164" s="56" t="n"/>
      <c r="E164" s="56" t="n"/>
      <c r="F164" s="27" t="n"/>
      <c r="G164" s="18">
        <f>IF(D164="Tandem",10,IF(D164="TT",22,IF(D164="Quad",25,"")))</f>
        <v/>
      </c>
      <c r="H164" s="28">
        <f>IFERROR(IF(F164*G164=0,0,F164*G164),0)</f>
        <v/>
      </c>
      <c r="I164" s="29" t="n"/>
      <c r="J164" s="57" t="n"/>
      <c r="K164" s="25" t="n"/>
      <c r="L164" s="30" t="n"/>
      <c r="M164" s="58" t="n"/>
      <c r="N164" s="30" t="n"/>
      <c r="O164" s="24">
        <f>IFERROR(IF(OR(M164="",M164=0),0,H164*VALUE(SUBSTITUTE(M164&amp;"","$",""))),0)</f>
        <v/>
      </c>
    </row>
    <row r="165" outlineLevel="1" ht="16" customHeight="1">
      <c r="A165" s="13" t="n"/>
      <c r="B165" s="14" t="n"/>
      <c r="C165" s="15" t="n"/>
      <c r="D165" s="56" t="n"/>
      <c r="E165" s="56" t="n"/>
      <c r="F165" s="17" t="n"/>
      <c r="G165" s="18">
        <f>IF(D165="Tandem",10,IF(D165="TT",22,IF(D165="Quad",25,"")))</f>
        <v/>
      </c>
      <c r="H165" s="19">
        <f>IFERROR(IF(F165*G165=0,0,F165*G165),0)</f>
        <v/>
      </c>
      <c r="I165" s="20" t="n"/>
      <c r="J165" s="57" t="n"/>
      <c r="K165" s="14" t="n"/>
      <c r="L165" s="22" t="n"/>
      <c r="M165" s="58" t="n"/>
      <c r="N165" s="22" t="n"/>
      <c r="O165" s="24">
        <f>IFERROR(IF(OR(M165="",M165=0),0,H165*VALUE(SUBSTITUTE(M165&amp;"","$",""))),0)</f>
        <v/>
      </c>
    </row>
    <row r="166" outlineLevel="1" ht="16" customHeight="1">
      <c r="A166" s="13" t="n"/>
      <c r="B166" s="25" t="n"/>
      <c r="C166" s="26" t="n"/>
      <c r="D166" s="56" t="n"/>
      <c r="E166" s="56" t="n"/>
      <c r="F166" s="27" t="n"/>
      <c r="G166" s="18">
        <f>IF(D166="Tandem",10,IF(D166="TT",22,IF(D166="Quad",25,"")))</f>
        <v/>
      </c>
      <c r="H166" s="28">
        <f>IFERROR(IF(F166*G166=0,0,F166*G166),0)</f>
        <v/>
      </c>
      <c r="I166" s="29" t="n"/>
      <c r="J166" s="57" t="n"/>
      <c r="K166" s="25" t="n"/>
      <c r="L166" s="30" t="n"/>
      <c r="M166" s="58" t="n"/>
      <c r="N166" s="30" t="n"/>
      <c r="O166" s="24">
        <f>IFERROR(IF(OR(M166="",M166=0),0,H166*VALUE(SUBSTITUTE(M166&amp;"","$",""))),0)</f>
        <v/>
      </c>
    </row>
    <row r="167" outlineLevel="1" ht="16" customHeight="1">
      <c r="A167" s="13" t="n"/>
      <c r="B167" s="14" t="n"/>
      <c r="C167" s="15" t="n"/>
      <c r="D167" s="56" t="n"/>
      <c r="E167" s="56" t="n"/>
      <c r="F167" s="17" t="n"/>
      <c r="G167" s="18">
        <f>IF(D167="Tandem",10,IF(D167="TT",22,IF(D167="Quad",25,"")))</f>
        <v/>
      </c>
      <c r="H167" s="19">
        <f>IFERROR(IF(F167*G167=0,0,F167*G167),0)</f>
        <v/>
      </c>
      <c r="I167" s="20" t="n"/>
      <c r="J167" s="57" t="n"/>
      <c r="K167" s="14" t="n"/>
      <c r="L167" s="22" t="n"/>
      <c r="M167" s="58" t="n"/>
      <c r="N167" s="22" t="n"/>
      <c r="O167" s="24">
        <f>IFERROR(IF(OR(M167="",M167=0),0,H167*VALUE(SUBSTITUTE(M167&amp;"","$",""))),0)</f>
        <v/>
      </c>
    </row>
    <row r="168" outlineLevel="1" ht="16" customHeight="1">
      <c r="A168" s="13" t="n"/>
      <c r="B168" s="25" t="n"/>
      <c r="C168" s="26" t="n"/>
      <c r="D168" s="56" t="n"/>
      <c r="E168" s="56" t="n"/>
      <c r="F168" s="27" t="n"/>
      <c r="G168" s="18">
        <f>IF(D168="Tandem",10,IF(D168="TT",22,IF(D168="Quad",25,"")))</f>
        <v/>
      </c>
      <c r="H168" s="28">
        <f>IFERROR(IF(F168*G168=0,0,F168*G168),0)</f>
        <v/>
      </c>
      <c r="I168" s="29" t="n"/>
      <c r="J168" s="57" t="n"/>
      <c r="K168" s="25" t="n"/>
      <c r="L168" s="30" t="n"/>
      <c r="M168" s="58" t="n"/>
      <c r="N168" s="30" t="n"/>
      <c r="O168" s="24">
        <f>IFERROR(IF(OR(M168="",M168=0),0,H168*VALUE(SUBSTITUTE(M168&amp;"","$",""))),0)</f>
        <v/>
      </c>
    </row>
    <row r="169" outlineLevel="1" ht="16" customHeight="1">
      <c r="A169" s="13" t="n"/>
      <c r="B169" s="14" t="n"/>
      <c r="C169" s="15" t="n"/>
      <c r="D169" s="56" t="n"/>
      <c r="E169" s="56" t="n"/>
      <c r="F169" s="17" t="n"/>
      <c r="G169" s="18">
        <f>IF(D169="Tandem",10,IF(D169="TT",22,IF(D169="Quad",25,"")))</f>
        <v/>
      </c>
      <c r="H169" s="19">
        <f>IFERROR(IF(F169*G169=0,0,F169*G169),0)</f>
        <v/>
      </c>
      <c r="I169" s="20" t="n"/>
      <c r="J169" s="57" t="n"/>
      <c r="K169" s="14" t="n"/>
      <c r="L169" s="22" t="n"/>
      <c r="M169" s="58" t="n"/>
      <c r="N169" s="22" t="n"/>
      <c r="O169" s="24">
        <f>IFERROR(IF(OR(M169="",M169=0),0,H169*VALUE(SUBSTITUTE(M169&amp;"","$",""))),0)</f>
        <v/>
      </c>
    </row>
    <row r="170" outlineLevel="1" ht="16" customHeight="1">
      <c r="A170" s="13" t="n"/>
      <c r="B170" s="25" t="n"/>
      <c r="C170" s="26" t="n"/>
      <c r="D170" s="56" t="n"/>
      <c r="E170" s="56" t="n"/>
      <c r="F170" s="27" t="n"/>
      <c r="G170" s="18">
        <f>IF(D170="Tandem",10,IF(D170="TT",22,IF(D170="Quad",25,"")))</f>
        <v/>
      </c>
      <c r="H170" s="28">
        <f>IFERROR(IF(F170*G170=0,0,F170*G170),0)</f>
        <v/>
      </c>
      <c r="I170" s="29" t="n"/>
      <c r="J170" s="57" t="n"/>
      <c r="K170" s="25" t="n"/>
      <c r="L170" s="30" t="n"/>
      <c r="M170" s="58" t="n"/>
      <c r="N170" s="30" t="n"/>
      <c r="O170" s="24">
        <f>IFERROR(IF(OR(M170="",M170=0),0,H170*VALUE(SUBSTITUTE(M170&amp;"","$",""))),0)</f>
        <v/>
      </c>
    </row>
    <row r="171" outlineLevel="1" ht="16" customHeight="1">
      <c r="A171" s="13" t="n"/>
      <c r="B171" s="14" t="n"/>
      <c r="C171" s="15" t="n"/>
      <c r="D171" s="56" t="n"/>
      <c r="E171" s="56" t="n"/>
      <c r="F171" s="17" t="n"/>
      <c r="G171" s="18">
        <f>IF(D171="Tandem",10,IF(D171="TT",22,IF(D171="Quad",25,"")))</f>
        <v/>
      </c>
      <c r="H171" s="19">
        <f>IFERROR(IF(F171*G171=0,0,F171*G171),0)</f>
        <v/>
      </c>
      <c r="I171" s="20" t="n"/>
      <c r="J171" s="57" t="n"/>
      <c r="K171" s="14" t="n"/>
      <c r="L171" s="22" t="n"/>
      <c r="M171" s="58" t="n"/>
      <c r="N171" s="22" t="n"/>
      <c r="O171" s="24">
        <f>IFERROR(IF(OR(M171="",M171=0),0,H171*VALUE(SUBSTITUTE(M171&amp;"","$",""))),0)</f>
        <v/>
      </c>
    </row>
    <row r="172" outlineLevel="1" ht="16" customHeight="1">
      <c r="A172" s="13" t="n"/>
      <c r="B172" s="25" t="n"/>
      <c r="C172" s="26" t="n"/>
      <c r="D172" s="56" t="n"/>
      <c r="E172" s="56" t="n"/>
      <c r="F172" s="27" t="n"/>
      <c r="G172" s="18">
        <f>IF(D172="Tandem",10,IF(D172="TT",22,IF(D172="Quad",25,"")))</f>
        <v/>
      </c>
      <c r="H172" s="28">
        <f>IFERROR(IF(F172*G172=0,0,F172*G172),0)</f>
        <v/>
      </c>
      <c r="I172" s="29" t="n"/>
      <c r="J172" s="57" t="n"/>
      <c r="K172" s="25" t="n"/>
      <c r="L172" s="30" t="n"/>
      <c r="M172" s="58" t="n"/>
      <c r="N172" s="30" t="n"/>
      <c r="O172" s="24">
        <f>IFERROR(IF(OR(M172="",M172=0),0,H172*VALUE(SUBSTITUTE(M172&amp;"","$",""))),0)</f>
        <v/>
      </c>
    </row>
    <row r="173" outlineLevel="1" ht="16" customHeight="1">
      <c r="A173" s="13" t="n"/>
      <c r="B173" s="14" t="n"/>
      <c r="C173" s="15" t="n"/>
      <c r="D173" s="56" t="n"/>
      <c r="E173" s="56" t="n"/>
      <c r="F173" s="17" t="n"/>
      <c r="G173" s="18">
        <f>IF(D173="Tandem",10,IF(D173="TT",22,IF(D173="Quad",25,"")))</f>
        <v/>
      </c>
      <c r="H173" s="19">
        <f>IFERROR(IF(F173*G173=0,0,F173*G173),0)</f>
        <v/>
      </c>
      <c r="I173" s="20" t="n"/>
      <c r="J173" s="57" t="n"/>
      <c r="K173" s="14" t="n"/>
      <c r="L173" s="22" t="n"/>
      <c r="M173" s="58" t="n"/>
      <c r="N173" s="22" t="n"/>
      <c r="O173" s="24">
        <f>IFERROR(IF(OR(M173="",M173=0),0,H173*VALUE(SUBSTITUTE(M173&amp;"","$",""))),0)</f>
        <v/>
      </c>
    </row>
    <row r="174" outlineLevel="1" ht="16" customHeight="1">
      <c r="A174" s="13" t="n"/>
      <c r="B174" s="25" t="n"/>
      <c r="C174" s="26" t="n"/>
      <c r="D174" s="56" t="n"/>
      <c r="E174" s="56" t="n"/>
      <c r="F174" s="27" t="n"/>
      <c r="G174" s="18">
        <f>IF(D174="Tandem",10,IF(D174="TT",22,IF(D174="Quad",25,"")))</f>
        <v/>
      </c>
      <c r="H174" s="28">
        <f>IFERROR(IF(F174*G174=0,0,F174*G174),0)</f>
        <v/>
      </c>
      <c r="I174" s="29" t="n"/>
      <c r="J174" s="57" t="n"/>
      <c r="K174" s="25" t="n"/>
      <c r="L174" s="30" t="n"/>
      <c r="M174" s="58" t="n"/>
      <c r="N174" s="30" t="n"/>
      <c r="O174" s="24">
        <f>IFERROR(IF(OR(M174="",M174=0),0,H174*VALUE(SUBSTITUTE(M174&amp;"","$",""))),0)</f>
        <v/>
      </c>
    </row>
    <row r="175" outlineLevel="1" ht="16" customHeight="1">
      <c r="A175" s="13" t="n"/>
      <c r="B175" s="14" t="n"/>
      <c r="C175" s="15" t="n"/>
      <c r="D175" s="56" t="n"/>
      <c r="E175" s="56" t="n"/>
      <c r="F175" s="17" t="n"/>
      <c r="G175" s="18">
        <f>IF(D175="Tandem",10,IF(D175="TT",22,IF(D175="Quad",25,"")))</f>
        <v/>
      </c>
      <c r="H175" s="19">
        <f>IFERROR(IF(F175*G175=0,0,F175*G175),0)</f>
        <v/>
      </c>
      <c r="I175" s="20" t="n"/>
      <c r="J175" s="57" t="n"/>
      <c r="K175" s="14" t="n"/>
      <c r="L175" s="22" t="n"/>
      <c r="M175" s="58" t="n"/>
      <c r="N175" s="22" t="n"/>
      <c r="O175" s="24">
        <f>IFERROR(IF(OR(M175="",M175=0),0,H175*VALUE(SUBSTITUTE(M175&amp;"","$",""))),0)</f>
        <v/>
      </c>
    </row>
    <row r="176" outlineLevel="1" ht="16" customHeight="1">
      <c r="A176" s="13" t="n"/>
      <c r="B176" s="25" t="n"/>
      <c r="C176" s="26" t="n"/>
      <c r="D176" s="56" t="n"/>
      <c r="E176" s="56" t="n"/>
      <c r="F176" s="27" t="n"/>
      <c r="G176" s="18">
        <f>IF(D176="Tandem",10,IF(D176="TT",22,IF(D176="Quad",25,"")))</f>
        <v/>
      </c>
      <c r="H176" s="28">
        <f>IFERROR(IF(F176*G176=0,0,F176*G176),0)</f>
        <v/>
      </c>
      <c r="I176" s="29" t="n"/>
      <c r="J176" s="57" t="n"/>
      <c r="K176" s="25" t="n"/>
      <c r="L176" s="30" t="n"/>
      <c r="M176" s="58" t="n"/>
      <c r="N176" s="30" t="n"/>
      <c r="O176" s="24">
        <f>IFERROR(IF(OR(M176="",M176=0),0,H176*VALUE(SUBSTITUTE(M176&amp;"","$",""))),0)</f>
        <v/>
      </c>
    </row>
    <row r="177" outlineLevel="1" ht="16" customHeight="1">
      <c r="A177" s="13" t="n"/>
      <c r="B177" s="14" t="n"/>
      <c r="C177" s="15" t="n"/>
      <c r="D177" s="56" t="n"/>
      <c r="E177" s="56" t="n"/>
      <c r="F177" s="17" t="n"/>
      <c r="G177" s="18">
        <f>IF(D177="Tandem",10,IF(D177="TT",22,IF(D177="Quad",25,"")))</f>
        <v/>
      </c>
      <c r="H177" s="19">
        <f>IFERROR(IF(F177*G177=0,0,F177*G177),0)</f>
        <v/>
      </c>
      <c r="I177" s="20" t="n"/>
      <c r="J177" s="57" t="n"/>
      <c r="K177" s="14" t="n"/>
      <c r="L177" s="22" t="n"/>
      <c r="M177" s="58" t="n"/>
      <c r="N177" s="22" t="n"/>
      <c r="O177" s="24">
        <f>IFERROR(IF(OR(M177="",M177=0),0,H177*VALUE(SUBSTITUTE(M177&amp;"","$",""))),0)</f>
        <v/>
      </c>
    </row>
    <row r="178" outlineLevel="1" ht="16" customHeight="1">
      <c r="A178" s="13" t="n"/>
      <c r="B178" s="25" t="n"/>
      <c r="C178" s="26" t="n"/>
      <c r="D178" s="56" t="n"/>
      <c r="E178" s="56" t="n"/>
      <c r="F178" s="27" t="n"/>
      <c r="G178" s="18">
        <f>IF(D178="Tandem",10,IF(D178="TT",22,IF(D178="Quad",25,"")))</f>
        <v/>
      </c>
      <c r="H178" s="28">
        <f>IFERROR(IF(F178*G178=0,0,F178*G178),0)</f>
        <v/>
      </c>
      <c r="I178" s="29" t="n"/>
      <c r="J178" s="57" t="n"/>
      <c r="K178" s="25" t="n"/>
      <c r="L178" s="30" t="n"/>
      <c r="M178" s="58" t="n"/>
      <c r="N178" s="30" t="n"/>
      <c r="O178" s="24">
        <f>IFERROR(IF(OR(M178="",M178=0),0,H178*VALUE(SUBSTITUTE(M178&amp;"","$",""))),0)</f>
        <v/>
      </c>
    </row>
    <row r="179" outlineLevel="1" ht="16" customHeight="1">
      <c r="A179" s="13" t="n"/>
      <c r="B179" s="14" t="n"/>
      <c r="C179" s="15" t="n"/>
      <c r="D179" s="56" t="n"/>
      <c r="E179" s="56" t="n"/>
      <c r="F179" s="17" t="n"/>
      <c r="G179" s="18">
        <f>IF(D179="Tandem",10,IF(D179="TT",22,IF(D179="Quad",25,"")))</f>
        <v/>
      </c>
      <c r="H179" s="19">
        <f>IFERROR(IF(F179*G179=0,0,F179*G179),0)</f>
        <v/>
      </c>
      <c r="I179" s="20" t="n"/>
      <c r="J179" s="57" t="n"/>
      <c r="K179" s="14" t="n"/>
      <c r="L179" s="22" t="n"/>
      <c r="M179" s="58" t="n"/>
      <c r="N179" s="22" t="n"/>
      <c r="O179" s="24">
        <f>IFERROR(IF(OR(M179="",M179=0),0,H179*VALUE(SUBSTITUTE(M179&amp;"","$",""))),0)</f>
        <v/>
      </c>
    </row>
    <row r="180" outlineLevel="1" ht="16" customHeight="1">
      <c r="A180" s="13" t="n"/>
      <c r="B180" s="25" t="n"/>
      <c r="C180" s="26" t="n"/>
      <c r="D180" s="56" t="n"/>
      <c r="E180" s="56" t="n"/>
      <c r="F180" s="27" t="n"/>
      <c r="G180" s="18">
        <f>IF(D180="Tandem",10,IF(D180="TT",22,IF(D180="Quad",25,"")))</f>
        <v/>
      </c>
      <c r="H180" s="28">
        <f>IFERROR(IF(F180*G180=0,0,F180*G180),0)</f>
        <v/>
      </c>
      <c r="I180" s="29" t="n"/>
      <c r="J180" s="57" t="n"/>
      <c r="K180" s="25" t="n"/>
      <c r="L180" s="30" t="n"/>
      <c r="M180" s="58" t="n"/>
      <c r="N180" s="30" t="n"/>
      <c r="O180" s="24">
        <f>IFERROR(IF(OR(M180="",M180=0),0,H180*VALUE(SUBSTITUTE(M180&amp;"","$",""))),0)</f>
        <v/>
      </c>
    </row>
    <row r="181" outlineLevel="1" ht="16" customHeight="1">
      <c r="A181" s="13" t="n"/>
      <c r="B181" s="14" t="n"/>
      <c r="C181" s="15" t="n"/>
      <c r="D181" s="56" t="n"/>
      <c r="E181" s="56" t="n"/>
      <c r="F181" s="17" t="n"/>
      <c r="G181" s="18">
        <f>IF(D181="Tandem",10,IF(D181="TT",22,IF(D181="Quad",25,"")))</f>
        <v/>
      </c>
      <c r="H181" s="19">
        <f>IFERROR(IF(F181*G181=0,0,F181*G181),0)</f>
        <v/>
      </c>
      <c r="I181" s="20" t="n"/>
      <c r="J181" s="57" t="n"/>
      <c r="K181" s="14" t="n"/>
      <c r="L181" s="22" t="n"/>
      <c r="M181" s="58" t="n"/>
      <c r="N181" s="22" t="n"/>
      <c r="O181" s="24">
        <f>IFERROR(IF(OR(M181="",M181=0),0,H181*VALUE(SUBSTITUTE(M181&amp;"","$",""))),0)</f>
        <v/>
      </c>
    </row>
    <row r="182" outlineLevel="1" ht="16" customHeight="1">
      <c r="A182" s="13" t="n"/>
      <c r="B182" s="25" t="n"/>
      <c r="C182" s="26" t="n"/>
      <c r="D182" s="56" t="n"/>
      <c r="E182" s="56" t="n"/>
      <c r="F182" s="27" t="n"/>
      <c r="G182" s="18">
        <f>IF(D182="Tandem",10,IF(D182="TT",22,IF(D182="Quad",25,"")))</f>
        <v/>
      </c>
      <c r="H182" s="28">
        <f>IFERROR(IF(F182*G182=0,0,F182*G182),0)</f>
        <v/>
      </c>
      <c r="I182" s="29" t="n"/>
      <c r="J182" s="57" t="n"/>
      <c r="K182" s="25" t="n"/>
      <c r="L182" s="30" t="n"/>
      <c r="M182" s="58" t="n"/>
      <c r="N182" s="30" t="n"/>
      <c r="O182" s="24">
        <f>IFERROR(IF(OR(M182="",M182=0),0,H182*VALUE(SUBSTITUTE(M182&amp;"","$",""))),0)</f>
        <v/>
      </c>
    </row>
    <row r="183" outlineLevel="1" ht="16" customHeight="1">
      <c r="A183" s="13" t="n"/>
      <c r="B183" s="14" t="n"/>
      <c r="C183" s="15" t="n"/>
      <c r="D183" s="56" t="n"/>
      <c r="E183" s="56" t="n"/>
      <c r="F183" s="17" t="n"/>
      <c r="G183" s="18">
        <f>IF(D183="Tandem",10,IF(D183="TT",22,IF(D183="Quad",25,"")))</f>
        <v/>
      </c>
      <c r="H183" s="19">
        <f>IFERROR(IF(F183*G183=0,0,F183*G183),0)</f>
        <v/>
      </c>
      <c r="I183" s="20" t="n"/>
      <c r="J183" s="57" t="n"/>
      <c r="K183" s="14" t="n"/>
      <c r="L183" s="22" t="n"/>
      <c r="M183" s="58" t="n"/>
      <c r="N183" s="22" t="n"/>
      <c r="O183" s="24">
        <f>IFERROR(IF(OR(M183="",M183=0),0,H183*VALUE(SUBSTITUTE(M183&amp;"","$",""))),0)</f>
        <v/>
      </c>
    </row>
    <row r="184" outlineLevel="1" ht="16" customHeight="1">
      <c r="A184" s="13" t="n"/>
      <c r="B184" s="25" t="n"/>
      <c r="C184" s="26" t="n"/>
      <c r="D184" s="56" t="n"/>
      <c r="E184" s="56" t="n"/>
      <c r="F184" s="27" t="n"/>
      <c r="G184" s="18">
        <f>IF(D184="Tandem",10,IF(D184="TT",22,IF(D184="Quad",25,"")))</f>
        <v/>
      </c>
      <c r="H184" s="28">
        <f>IFERROR(IF(F184*G184=0,0,F184*G184),0)</f>
        <v/>
      </c>
      <c r="I184" s="29" t="n"/>
      <c r="J184" s="57" t="n"/>
      <c r="K184" s="25" t="n"/>
      <c r="L184" s="30" t="n"/>
      <c r="M184" s="58" t="n"/>
      <c r="N184" s="30" t="n"/>
      <c r="O184" s="24">
        <f>IFERROR(IF(OR(M184="",M184=0),0,H184*VALUE(SUBSTITUTE(M184&amp;"","$",""))),0)</f>
        <v/>
      </c>
    </row>
    <row r="185" outlineLevel="1" ht="16" customHeight="1">
      <c r="A185" s="13" t="n"/>
      <c r="B185" s="14" t="n"/>
      <c r="C185" s="15" t="n"/>
      <c r="D185" s="56" t="n"/>
      <c r="E185" s="56" t="n"/>
      <c r="F185" s="17" t="n"/>
      <c r="G185" s="18">
        <f>IF(D185="Tandem",10,IF(D185="TT",22,IF(D185="Quad",25,"")))</f>
        <v/>
      </c>
      <c r="H185" s="19">
        <f>IFERROR(IF(F185*G185=0,0,F185*G185),0)</f>
        <v/>
      </c>
      <c r="I185" s="20" t="n"/>
      <c r="J185" s="57" t="n"/>
      <c r="K185" s="14" t="n"/>
      <c r="L185" s="22" t="n"/>
      <c r="M185" s="58" t="n"/>
      <c r="N185" s="22" t="n"/>
      <c r="O185" s="24">
        <f>IFERROR(IF(OR(M185="",M185=0),0,H185*VALUE(SUBSTITUTE(M185&amp;"","$",""))),0)</f>
        <v/>
      </c>
    </row>
    <row r="186" outlineLevel="1" ht="16" customHeight="1">
      <c r="A186" s="13" t="n"/>
      <c r="B186" s="25" t="n"/>
      <c r="C186" s="26" t="n"/>
      <c r="D186" s="56" t="n"/>
      <c r="E186" s="56" t="n"/>
      <c r="F186" s="27" t="n"/>
      <c r="G186" s="18">
        <f>IF(D186="Tandem",10,IF(D186="TT",22,IF(D186="Quad",25,"")))</f>
        <v/>
      </c>
      <c r="H186" s="28">
        <f>IFERROR(IF(F186*G186=0,0,F186*G186),0)</f>
        <v/>
      </c>
      <c r="I186" s="29" t="n"/>
      <c r="J186" s="57" t="n"/>
      <c r="K186" s="25" t="n"/>
      <c r="L186" s="30" t="n"/>
      <c r="M186" s="58" t="n"/>
      <c r="N186" s="30" t="n"/>
      <c r="O186" s="24">
        <f>IFERROR(IF(OR(M186="",M186=0),0,H186*VALUE(SUBSTITUTE(M186&amp;"","$",""))),0)</f>
        <v/>
      </c>
    </row>
    <row r="187" outlineLevel="1" ht="16" customHeight="1">
      <c r="A187" s="13" t="n"/>
      <c r="B187" s="14" t="n"/>
      <c r="C187" s="15" t="n"/>
      <c r="D187" s="56" t="n"/>
      <c r="E187" s="56" t="n"/>
      <c r="F187" s="17" t="n"/>
      <c r="G187" s="18">
        <f>IF(D187="Tandem",10,IF(D187="TT",22,IF(D187="Quad",25,"")))</f>
        <v/>
      </c>
      <c r="H187" s="19">
        <f>IFERROR(IF(F187*G187=0,0,F187*G187),0)</f>
        <v/>
      </c>
      <c r="I187" s="20" t="n"/>
      <c r="J187" s="57" t="n"/>
      <c r="K187" s="14" t="n"/>
      <c r="L187" s="22" t="n"/>
      <c r="M187" s="58" t="n"/>
      <c r="N187" s="22" t="n"/>
      <c r="O187" s="24">
        <f>IFERROR(IF(OR(M187="",M187=0),0,H187*VALUE(SUBSTITUTE(M187&amp;"","$",""))),0)</f>
        <v/>
      </c>
    </row>
    <row r="188" outlineLevel="1" ht="16" customHeight="1">
      <c r="A188" s="13" t="n"/>
      <c r="B188" s="25" t="n"/>
      <c r="C188" s="26" t="n"/>
      <c r="D188" s="56" t="n"/>
      <c r="E188" s="56" t="n"/>
      <c r="F188" s="27" t="n"/>
      <c r="G188" s="18">
        <f>IF(D188="Tandem",10,IF(D188="TT",22,IF(D188="Quad",25,"")))</f>
        <v/>
      </c>
      <c r="H188" s="28">
        <f>IFERROR(IF(F188*G188=0,0,F188*G188),0)</f>
        <v/>
      </c>
      <c r="I188" s="29" t="n"/>
      <c r="J188" s="57" t="n"/>
      <c r="K188" s="25" t="n"/>
      <c r="L188" s="30" t="n"/>
      <c r="M188" s="58" t="n"/>
      <c r="N188" s="30" t="n"/>
      <c r="O188" s="24">
        <f>IFERROR(IF(OR(M188="",M188=0),0,H188*VALUE(SUBSTITUTE(M188&amp;"","$",""))),0)</f>
        <v/>
      </c>
    </row>
    <row r="189" outlineLevel="1" ht="16" customHeight="1">
      <c r="A189" s="13" t="n"/>
      <c r="B189" s="14" t="n"/>
      <c r="C189" s="15" t="n"/>
      <c r="D189" s="56" t="n"/>
      <c r="E189" s="56" t="n"/>
      <c r="F189" s="17" t="n"/>
      <c r="G189" s="18">
        <f>IF(D189="Tandem",10,IF(D189="TT",22,IF(D189="Quad",25,"")))</f>
        <v/>
      </c>
      <c r="H189" s="19">
        <f>IFERROR(IF(F189*G189=0,0,F189*G189),0)</f>
        <v/>
      </c>
      <c r="I189" s="20" t="n"/>
      <c r="J189" s="57" t="n"/>
      <c r="K189" s="14" t="n"/>
      <c r="L189" s="22" t="n"/>
      <c r="M189" s="58" t="n"/>
      <c r="N189" s="22" t="n"/>
      <c r="O189" s="24">
        <f>IFERROR(IF(OR(M189="",M189=0),0,H189*VALUE(SUBSTITUTE(M189&amp;"","$",""))),0)</f>
        <v/>
      </c>
    </row>
    <row r="190" outlineLevel="1" ht="16" customHeight="1">
      <c r="A190" s="13" t="n"/>
      <c r="B190" s="25" t="n"/>
      <c r="C190" s="26" t="n"/>
      <c r="D190" s="56" t="n"/>
      <c r="E190" s="56" t="n"/>
      <c r="F190" s="27" t="n"/>
      <c r="G190" s="18">
        <f>IF(D190="Tandem",10,IF(D190="TT",22,IF(D190="Quad",25,"")))</f>
        <v/>
      </c>
      <c r="H190" s="28">
        <f>IFERROR(IF(F190*G190=0,0,F190*G190),0)</f>
        <v/>
      </c>
      <c r="I190" s="29" t="n"/>
      <c r="J190" s="57" t="n"/>
      <c r="K190" s="25" t="n"/>
      <c r="L190" s="30" t="n"/>
      <c r="M190" s="58" t="n"/>
      <c r="N190" s="30" t="n"/>
      <c r="O190" s="24">
        <f>IFERROR(IF(OR(M190="",M190=0),0,H190*VALUE(SUBSTITUTE(M190&amp;"","$",""))),0)</f>
        <v/>
      </c>
    </row>
    <row r="191" outlineLevel="1" ht="16" customHeight="1">
      <c r="A191" s="13" t="n"/>
      <c r="B191" s="14" t="n"/>
      <c r="C191" s="15" t="n"/>
      <c r="D191" s="56" t="n"/>
      <c r="E191" s="56" t="n"/>
      <c r="F191" s="17" t="n"/>
      <c r="G191" s="18">
        <f>IF(D191="Tandem",10,IF(D191="TT",22,IF(D191="Quad",25,"")))</f>
        <v/>
      </c>
      <c r="H191" s="19">
        <f>IFERROR(IF(F191*G191=0,0,F191*G191),0)</f>
        <v/>
      </c>
      <c r="I191" s="20" t="n"/>
      <c r="J191" s="57" t="n"/>
      <c r="K191" s="14" t="n"/>
      <c r="L191" s="22" t="n"/>
      <c r="M191" s="58" t="n"/>
      <c r="N191" s="22" t="n"/>
      <c r="O191" s="24">
        <f>IFERROR(IF(OR(M191="",M191=0),0,H191*VALUE(SUBSTITUTE(M191&amp;"","$",""))),0)</f>
        <v/>
      </c>
    </row>
    <row r="192" outlineLevel="1" ht="16" customHeight="1">
      <c r="A192" s="13" t="n"/>
      <c r="B192" s="25" t="n"/>
      <c r="C192" s="26" t="n"/>
      <c r="D192" s="56" t="n"/>
      <c r="E192" s="56" t="n"/>
      <c r="F192" s="27" t="n"/>
      <c r="G192" s="18">
        <f>IF(D192="Tandem",10,IF(D192="TT",22,IF(D192="Quad",25,"")))</f>
        <v/>
      </c>
      <c r="H192" s="28">
        <f>IFERROR(IF(F192*G192=0,0,F192*G192),0)</f>
        <v/>
      </c>
      <c r="I192" s="29" t="n"/>
      <c r="J192" s="57" t="n"/>
      <c r="K192" s="25" t="n"/>
      <c r="L192" s="30" t="n"/>
      <c r="M192" s="58" t="n"/>
      <c r="N192" s="30" t="n"/>
      <c r="O192" s="24">
        <f>IFERROR(IF(OR(M192="",M192=0),0,H192*VALUE(SUBSTITUTE(M192&amp;"","$",""))),0)</f>
        <v/>
      </c>
    </row>
    <row r="193" outlineLevel="1" ht="20" customHeight="1">
      <c r="A193" s="59" t="inlineStr">
        <is>
          <t>Daily Notes:</t>
        </is>
      </c>
      <c r="B193" s="54" t="n"/>
      <c r="C193" s="54" t="n"/>
      <c r="D193" s="54" t="n"/>
      <c r="E193" s="54" t="n"/>
      <c r="F193" s="54" t="n"/>
      <c r="G193" s="54" t="n"/>
      <c r="H193" s="54" t="n"/>
      <c r="I193" s="54" t="n"/>
      <c r="J193" s="54" t="n"/>
      <c r="K193" s="54" t="n"/>
      <c r="L193" s="54" t="n"/>
      <c r="M193" s="54" t="n"/>
      <c r="N193" s="50" t="n"/>
      <c r="O193" s="60" t="n"/>
    </row>
    <row r="194" outlineLevel="1" ht="18" customHeight="1">
      <c r="A194" s="32" t="inlineStr">
        <is>
          <t>DAILY TOTAL</t>
        </is>
      </c>
      <c r="B194" s="54" t="n"/>
      <c r="C194" s="54" t="n"/>
      <c r="D194" s="54" t="n"/>
      <c r="E194" s="54" t="n"/>
      <c r="F194" s="54" t="n"/>
      <c r="G194" s="50" t="n"/>
      <c r="H194" s="34">
        <f>SUM(H163:H192)</f>
        <v/>
      </c>
      <c r="I194" s="35">
        <f>SUM(I163:I192)</f>
        <v/>
      </c>
      <c r="J194" s="61" t="n"/>
      <c r="K194" s="61" t="n"/>
      <c r="L194" s="61" t="n"/>
      <c r="M194" s="36">
        <f>SUM(O163:O192)</f>
        <v/>
      </c>
      <c r="N194" s="61" t="n"/>
      <c r="O194" s="62" t="n"/>
    </row>
    <row r="195" outlineLevel="1" ht="18" customHeight="1">
      <c r="A195" s="2" t="inlineStr">
        <is>
          <t>▶ RUNNING TOTAL</t>
        </is>
      </c>
      <c r="B195" s="54" t="n"/>
      <c r="C195" s="54" t="n"/>
      <c r="D195" s="54" t="n"/>
      <c r="E195" s="54" t="n"/>
      <c r="F195" s="54" t="n"/>
      <c r="G195" s="50" t="n"/>
      <c r="H195" s="37">
        <f>H50+H86+H122+H158+H194</f>
        <v/>
      </c>
      <c r="I195" s="63" t="n"/>
      <c r="J195" s="63" t="n"/>
      <c r="K195" s="63" t="n"/>
      <c r="L195" s="63" t="n"/>
      <c r="M195" s="38">
        <f>M50+M86+M122+M158+M194</f>
        <v/>
      </c>
      <c r="N195" s="63" t="n"/>
      <c r="O195" s="64" t="n"/>
    </row>
    <row r="196" outlineLevel="1" ht="8" customHeight="1"/>
    <row r="197" ht="22" customHeight="1">
      <c r="A197" s="55" t="inlineStr">
        <is>
          <t>DAY 6</t>
        </is>
      </c>
      <c r="B197" s="54" t="n"/>
      <c r="C197" s="54" t="n"/>
      <c r="D197" s="54" t="n"/>
      <c r="E197" s="54" t="n"/>
      <c r="F197" s="54" t="n"/>
      <c r="G197" s="54" t="n"/>
      <c r="H197" s="54" t="n"/>
      <c r="I197" s="54" t="n"/>
      <c r="J197" s="54" t="n"/>
      <c r="K197" s="54" t="n"/>
      <c r="L197" s="54" t="n"/>
      <c r="M197" s="54" t="n"/>
      <c r="N197" s="50" t="n"/>
    </row>
    <row r="198" outlineLevel="1" ht="28" customHeight="1">
      <c r="A198" s="12" t="inlineStr">
        <is>
          <t>Date</t>
        </is>
      </c>
      <c r="B198" s="12" t="inlineStr">
        <is>
          <t>Cartage Company</t>
        </is>
      </c>
      <c r="C198" s="12" t="inlineStr">
        <is>
          <t>Truck Rego</t>
        </is>
      </c>
      <c r="D198" s="12" t="inlineStr">
        <is>
          <t>Truck Type</t>
        </is>
      </c>
      <c r="E198" s="12" t="inlineStr">
        <is>
          <t>Exp / Imp</t>
        </is>
      </c>
      <c r="F198" s="12" t="inlineStr">
        <is>
          <t>Loads</t>
        </is>
      </c>
      <c r="G198" s="12" t="inlineStr">
        <is>
          <t>m³ / Load</t>
        </is>
      </c>
      <c r="H198" s="12" t="inlineStr">
        <is>
          <t>Total m³</t>
        </is>
      </c>
      <c r="I198" s="12" t="inlineStr">
        <is>
          <t>Hours</t>
        </is>
      </c>
      <c r="J198" s="12" t="inlineStr">
        <is>
          <t>Material</t>
        </is>
      </c>
      <c r="K198" s="12" t="inlineStr">
        <is>
          <t>Tip Site</t>
        </is>
      </c>
      <c r="L198" s="12" t="inlineStr">
        <is>
          <t>Docket #</t>
        </is>
      </c>
      <c r="M198" s="12" t="inlineStr">
        <is>
          <t>Rate Paid ($/m³)</t>
        </is>
      </c>
      <c r="N198" s="12" t="inlineStr">
        <is>
          <t>Invoice #</t>
        </is>
      </c>
    </row>
    <row r="199" outlineLevel="1" ht="16" customHeight="1">
      <c r="A199" s="13" t="n"/>
      <c r="B199" s="14" t="n"/>
      <c r="C199" s="15" t="n"/>
      <c r="D199" s="56" t="n"/>
      <c r="E199" s="56" t="n"/>
      <c r="F199" s="17" t="n"/>
      <c r="G199" s="18">
        <f>IF(D199="Tandem",10,IF(D199="TT",22,IF(D199="Quad",25,"")))</f>
        <v/>
      </c>
      <c r="H199" s="19">
        <f>IFERROR(IF(F199*G199=0,0,F199*G199),0)</f>
        <v/>
      </c>
      <c r="I199" s="20" t="n"/>
      <c r="J199" s="57" t="n"/>
      <c r="K199" s="14" t="n"/>
      <c r="L199" s="22" t="n"/>
      <c r="M199" s="58" t="n"/>
      <c r="N199" s="22" t="n"/>
      <c r="O199" s="24">
        <f>IFERROR(IF(OR(M199="",M199=0),0,H199*VALUE(SUBSTITUTE(M199&amp;"","$",""))),0)</f>
        <v/>
      </c>
    </row>
    <row r="200" outlineLevel="1" ht="16" customHeight="1">
      <c r="A200" s="13" t="n"/>
      <c r="B200" s="25" t="n"/>
      <c r="C200" s="26" t="n"/>
      <c r="D200" s="56" t="n"/>
      <c r="E200" s="56" t="n"/>
      <c r="F200" s="27" t="n"/>
      <c r="G200" s="18">
        <f>IF(D200="Tandem",10,IF(D200="TT",22,IF(D200="Quad",25,"")))</f>
        <v/>
      </c>
      <c r="H200" s="28">
        <f>IFERROR(IF(F200*G200=0,0,F200*G200),0)</f>
        <v/>
      </c>
      <c r="I200" s="29" t="n"/>
      <c r="J200" s="57" t="n"/>
      <c r="K200" s="25" t="n"/>
      <c r="L200" s="30" t="n"/>
      <c r="M200" s="58" t="n"/>
      <c r="N200" s="30" t="n"/>
      <c r="O200" s="24">
        <f>IFERROR(IF(OR(M200="",M200=0),0,H200*VALUE(SUBSTITUTE(M200&amp;"","$",""))),0)</f>
        <v/>
      </c>
    </row>
    <row r="201" outlineLevel="1" ht="16" customHeight="1">
      <c r="A201" s="13" t="n"/>
      <c r="B201" s="14" t="n"/>
      <c r="C201" s="15" t="n"/>
      <c r="D201" s="56" t="n"/>
      <c r="E201" s="56" t="n"/>
      <c r="F201" s="17" t="n"/>
      <c r="G201" s="18">
        <f>IF(D201="Tandem",10,IF(D201="TT",22,IF(D201="Quad",25,"")))</f>
        <v/>
      </c>
      <c r="H201" s="19">
        <f>IFERROR(IF(F201*G201=0,0,F201*G201),0)</f>
        <v/>
      </c>
      <c r="I201" s="20" t="n"/>
      <c r="J201" s="57" t="n"/>
      <c r="K201" s="14" t="n"/>
      <c r="L201" s="22" t="n"/>
      <c r="M201" s="58" t="n"/>
      <c r="N201" s="22" t="n"/>
      <c r="O201" s="24">
        <f>IFERROR(IF(OR(M201="",M201=0),0,H201*VALUE(SUBSTITUTE(M201&amp;"","$",""))),0)</f>
        <v/>
      </c>
    </row>
    <row r="202" outlineLevel="1" ht="16" customHeight="1">
      <c r="A202" s="13" t="n"/>
      <c r="B202" s="25" t="n"/>
      <c r="C202" s="26" t="n"/>
      <c r="D202" s="56" t="n"/>
      <c r="E202" s="56" t="n"/>
      <c r="F202" s="27" t="n"/>
      <c r="G202" s="18">
        <f>IF(D202="Tandem",10,IF(D202="TT",22,IF(D202="Quad",25,"")))</f>
        <v/>
      </c>
      <c r="H202" s="28">
        <f>IFERROR(IF(F202*G202=0,0,F202*G202),0)</f>
        <v/>
      </c>
      <c r="I202" s="29" t="n"/>
      <c r="J202" s="57" t="n"/>
      <c r="K202" s="25" t="n"/>
      <c r="L202" s="30" t="n"/>
      <c r="M202" s="58" t="n"/>
      <c r="N202" s="30" t="n"/>
      <c r="O202" s="24">
        <f>IFERROR(IF(OR(M202="",M202=0),0,H202*VALUE(SUBSTITUTE(M202&amp;"","$",""))),0)</f>
        <v/>
      </c>
    </row>
    <row r="203" outlineLevel="1" ht="16" customHeight="1">
      <c r="A203" s="13" t="n"/>
      <c r="B203" s="14" t="n"/>
      <c r="C203" s="15" t="n"/>
      <c r="D203" s="56" t="n"/>
      <c r="E203" s="56" t="n"/>
      <c r="F203" s="17" t="n"/>
      <c r="G203" s="18">
        <f>IF(D203="Tandem",10,IF(D203="TT",22,IF(D203="Quad",25,"")))</f>
        <v/>
      </c>
      <c r="H203" s="19">
        <f>IFERROR(IF(F203*G203=0,0,F203*G203),0)</f>
        <v/>
      </c>
      <c r="I203" s="20" t="n"/>
      <c r="J203" s="57" t="n"/>
      <c r="K203" s="14" t="n"/>
      <c r="L203" s="22" t="n"/>
      <c r="M203" s="58" t="n"/>
      <c r="N203" s="22" t="n"/>
      <c r="O203" s="24">
        <f>IFERROR(IF(OR(M203="",M203=0),0,H203*VALUE(SUBSTITUTE(M203&amp;"","$",""))),0)</f>
        <v/>
      </c>
    </row>
    <row r="204" outlineLevel="1" ht="16" customHeight="1">
      <c r="A204" s="13" t="n"/>
      <c r="B204" s="25" t="n"/>
      <c r="C204" s="26" t="n"/>
      <c r="D204" s="56" t="n"/>
      <c r="E204" s="56" t="n"/>
      <c r="F204" s="27" t="n"/>
      <c r="G204" s="18">
        <f>IF(D204="Tandem",10,IF(D204="TT",22,IF(D204="Quad",25,"")))</f>
        <v/>
      </c>
      <c r="H204" s="28">
        <f>IFERROR(IF(F204*G204=0,0,F204*G204),0)</f>
        <v/>
      </c>
      <c r="I204" s="29" t="n"/>
      <c r="J204" s="57" t="n"/>
      <c r="K204" s="25" t="n"/>
      <c r="L204" s="30" t="n"/>
      <c r="M204" s="58" t="n"/>
      <c r="N204" s="30" t="n"/>
      <c r="O204" s="24">
        <f>IFERROR(IF(OR(M204="",M204=0),0,H204*VALUE(SUBSTITUTE(M204&amp;"","$",""))),0)</f>
        <v/>
      </c>
    </row>
    <row r="205" outlineLevel="1" ht="16" customHeight="1">
      <c r="A205" s="13" t="n"/>
      <c r="B205" s="14" t="n"/>
      <c r="C205" s="15" t="n"/>
      <c r="D205" s="56" t="n"/>
      <c r="E205" s="56" t="n"/>
      <c r="F205" s="17" t="n"/>
      <c r="G205" s="18">
        <f>IF(D205="Tandem",10,IF(D205="TT",22,IF(D205="Quad",25,"")))</f>
        <v/>
      </c>
      <c r="H205" s="19">
        <f>IFERROR(IF(F205*G205=0,0,F205*G205),0)</f>
        <v/>
      </c>
      <c r="I205" s="20" t="n"/>
      <c r="J205" s="57" t="n"/>
      <c r="K205" s="14" t="n"/>
      <c r="L205" s="22" t="n"/>
      <c r="M205" s="58" t="n"/>
      <c r="N205" s="22" t="n"/>
      <c r="O205" s="24">
        <f>IFERROR(IF(OR(M205="",M205=0),0,H205*VALUE(SUBSTITUTE(M205&amp;"","$",""))),0)</f>
        <v/>
      </c>
    </row>
    <row r="206" outlineLevel="1" ht="16" customHeight="1">
      <c r="A206" s="13" t="n"/>
      <c r="B206" s="25" t="n"/>
      <c r="C206" s="26" t="n"/>
      <c r="D206" s="56" t="n"/>
      <c r="E206" s="56" t="n"/>
      <c r="F206" s="27" t="n"/>
      <c r="G206" s="18">
        <f>IF(D206="Tandem",10,IF(D206="TT",22,IF(D206="Quad",25,"")))</f>
        <v/>
      </c>
      <c r="H206" s="28">
        <f>IFERROR(IF(F206*G206=0,0,F206*G206),0)</f>
        <v/>
      </c>
      <c r="I206" s="29" t="n"/>
      <c r="J206" s="57" t="n"/>
      <c r="K206" s="25" t="n"/>
      <c r="L206" s="30" t="n"/>
      <c r="M206" s="58" t="n"/>
      <c r="N206" s="30" t="n"/>
      <c r="O206" s="24">
        <f>IFERROR(IF(OR(M206="",M206=0),0,H206*VALUE(SUBSTITUTE(M206&amp;"","$",""))),0)</f>
        <v/>
      </c>
    </row>
    <row r="207" outlineLevel="1" ht="16" customHeight="1">
      <c r="A207" s="13" t="n"/>
      <c r="B207" s="14" t="n"/>
      <c r="C207" s="15" t="n"/>
      <c r="D207" s="56" t="n"/>
      <c r="E207" s="56" t="n"/>
      <c r="F207" s="17" t="n"/>
      <c r="G207" s="18">
        <f>IF(D207="Tandem",10,IF(D207="TT",22,IF(D207="Quad",25,"")))</f>
        <v/>
      </c>
      <c r="H207" s="19">
        <f>IFERROR(IF(F207*G207=0,0,F207*G207),0)</f>
        <v/>
      </c>
      <c r="I207" s="20" t="n"/>
      <c r="J207" s="57" t="n"/>
      <c r="K207" s="14" t="n"/>
      <c r="L207" s="22" t="n"/>
      <c r="M207" s="58" t="n"/>
      <c r="N207" s="22" t="n"/>
      <c r="O207" s="24">
        <f>IFERROR(IF(OR(M207="",M207=0),0,H207*VALUE(SUBSTITUTE(M207&amp;"","$",""))),0)</f>
        <v/>
      </c>
    </row>
    <row r="208" outlineLevel="1" ht="16" customHeight="1">
      <c r="A208" s="13" t="n"/>
      <c r="B208" s="25" t="n"/>
      <c r="C208" s="26" t="n"/>
      <c r="D208" s="56" t="n"/>
      <c r="E208" s="56" t="n"/>
      <c r="F208" s="27" t="n"/>
      <c r="G208" s="18">
        <f>IF(D208="Tandem",10,IF(D208="TT",22,IF(D208="Quad",25,"")))</f>
        <v/>
      </c>
      <c r="H208" s="28">
        <f>IFERROR(IF(F208*G208=0,0,F208*G208),0)</f>
        <v/>
      </c>
      <c r="I208" s="29" t="n"/>
      <c r="J208" s="57" t="n"/>
      <c r="K208" s="25" t="n"/>
      <c r="L208" s="30" t="n"/>
      <c r="M208" s="58" t="n"/>
      <c r="N208" s="30" t="n"/>
      <c r="O208" s="24">
        <f>IFERROR(IF(OR(M208="",M208=0),0,H208*VALUE(SUBSTITUTE(M208&amp;"","$",""))),0)</f>
        <v/>
      </c>
    </row>
    <row r="209" outlineLevel="1" ht="16" customHeight="1">
      <c r="A209" s="13" t="n"/>
      <c r="B209" s="14" t="n"/>
      <c r="C209" s="15" t="n"/>
      <c r="D209" s="56" t="n"/>
      <c r="E209" s="56" t="n"/>
      <c r="F209" s="17" t="n"/>
      <c r="G209" s="18">
        <f>IF(D209="Tandem",10,IF(D209="TT",22,IF(D209="Quad",25,"")))</f>
        <v/>
      </c>
      <c r="H209" s="19">
        <f>IFERROR(IF(F209*G209=0,0,F209*G209),0)</f>
        <v/>
      </c>
      <c r="I209" s="20" t="n"/>
      <c r="J209" s="57" t="n"/>
      <c r="K209" s="14" t="n"/>
      <c r="L209" s="22" t="n"/>
      <c r="M209" s="58" t="n"/>
      <c r="N209" s="22" t="n"/>
      <c r="O209" s="24">
        <f>IFERROR(IF(OR(M209="",M209=0),0,H209*VALUE(SUBSTITUTE(M209&amp;"","$",""))),0)</f>
        <v/>
      </c>
    </row>
    <row r="210" outlineLevel="1" ht="16" customHeight="1">
      <c r="A210" s="13" t="n"/>
      <c r="B210" s="25" t="n"/>
      <c r="C210" s="26" t="n"/>
      <c r="D210" s="56" t="n"/>
      <c r="E210" s="56" t="n"/>
      <c r="F210" s="27" t="n"/>
      <c r="G210" s="18">
        <f>IF(D210="Tandem",10,IF(D210="TT",22,IF(D210="Quad",25,"")))</f>
        <v/>
      </c>
      <c r="H210" s="28">
        <f>IFERROR(IF(F210*G210=0,0,F210*G210),0)</f>
        <v/>
      </c>
      <c r="I210" s="29" t="n"/>
      <c r="J210" s="57" t="n"/>
      <c r="K210" s="25" t="n"/>
      <c r="L210" s="30" t="n"/>
      <c r="M210" s="58" t="n"/>
      <c r="N210" s="30" t="n"/>
      <c r="O210" s="24">
        <f>IFERROR(IF(OR(M210="",M210=0),0,H210*VALUE(SUBSTITUTE(M210&amp;"","$",""))),0)</f>
        <v/>
      </c>
    </row>
    <row r="211" outlineLevel="1" ht="16" customHeight="1">
      <c r="A211" s="13" t="n"/>
      <c r="B211" s="14" t="n"/>
      <c r="C211" s="15" t="n"/>
      <c r="D211" s="56" t="n"/>
      <c r="E211" s="56" t="n"/>
      <c r="F211" s="17" t="n"/>
      <c r="G211" s="18">
        <f>IF(D211="Tandem",10,IF(D211="TT",22,IF(D211="Quad",25,"")))</f>
        <v/>
      </c>
      <c r="H211" s="19">
        <f>IFERROR(IF(F211*G211=0,0,F211*G211),0)</f>
        <v/>
      </c>
      <c r="I211" s="20" t="n"/>
      <c r="J211" s="57" t="n"/>
      <c r="K211" s="14" t="n"/>
      <c r="L211" s="22" t="n"/>
      <c r="M211" s="58" t="n"/>
      <c r="N211" s="22" t="n"/>
      <c r="O211" s="24">
        <f>IFERROR(IF(OR(M211="",M211=0),0,H211*VALUE(SUBSTITUTE(M211&amp;"","$",""))),0)</f>
        <v/>
      </c>
    </row>
    <row r="212" outlineLevel="1" ht="16" customHeight="1">
      <c r="A212" s="13" t="n"/>
      <c r="B212" s="25" t="n"/>
      <c r="C212" s="26" t="n"/>
      <c r="D212" s="56" t="n"/>
      <c r="E212" s="56" t="n"/>
      <c r="F212" s="27" t="n"/>
      <c r="G212" s="18">
        <f>IF(D212="Tandem",10,IF(D212="TT",22,IF(D212="Quad",25,"")))</f>
        <v/>
      </c>
      <c r="H212" s="28">
        <f>IFERROR(IF(F212*G212=0,0,F212*G212),0)</f>
        <v/>
      </c>
      <c r="I212" s="29" t="n"/>
      <c r="J212" s="57" t="n"/>
      <c r="K212" s="25" t="n"/>
      <c r="L212" s="30" t="n"/>
      <c r="M212" s="58" t="n"/>
      <c r="N212" s="30" t="n"/>
      <c r="O212" s="24">
        <f>IFERROR(IF(OR(M212="",M212=0),0,H212*VALUE(SUBSTITUTE(M212&amp;"","$",""))),0)</f>
        <v/>
      </c>
    </row>
    <row r="213" outlineLevel="1" ht="16" customHeight="1">
      <c r="A213" s="13" t="n"/>
      <c r="B213" s="14" t="n"/>
      <c r="C213" s="15" t="n"/>
      <c r="D213" s="56" t="n"/>
      <c r="E213" s="56" t="n"/>
      <c r="F213" s="17" t="n"/>
      <c r="G213" s="18">
        <f>IF(D213="Tandem",10,IF(D213="TT",22,IF(D213="Quad",25,"")))</f>
        <v/>
      </c>
      <c r="H213" s="19">
        <f>IFERROR(IF(F213*G213=0,0,F213*G213),0)</f>
        <v/>
      </c>
      <c r="I213" s="20" t="n"/>
      <c r="J213" s="57" t="n"/>
      <c r="K213" s="14" t="n"/>
      <c r="L213" s="22" t="n"/>
      <c r="M213" s="58" t="n"/>
      <c r="N213" s="22" t="n"/>
      <c r="O213" s="24">
        <f>IFERROR(IF(OR(M213="",M213=0),0,H213*VALUE(SUBSTITUTE(M213&amp;"","$",""))),0)</f>
        <v/>
      </c>
    </row>
    <row r="214" outlineLevel="1" ht="16" customHeight="1">
      <c r="A214" s="13" t="n"/>
      <c r="B214" s="25" t="n"/>
      <c r="C214" s="26" t="n"/>
      <c r="D214" s="56" t="n"/>
      <c r="E214" s="56" t="n"/>
      <c r="F214" s="27" t="n"/>
      <c r="G214" s="18">
        <f>IF(D214="Tandem",10,IF(D214="TT",22,IF(D214="Quad",25,"")))</f>
        <v/>
      </c>
      <c r="H214" s="28">
        <f>IFERROR(IF(F214*G214=0,0,F214*G214),0)</f>
        <v/>
      </c>
      <c r="I214" s="29" t="n"/>
      <c r="J214" s="57" t="n"/>
      <c r="K214" s="25" t="n"/>
      <c r="L214" s="30" t="n"/>
      <c r="M214" s="58" t="n"/>
      <c r="N214" s="30" t="n"/>
      <c r="O214" s="24">
        <f>IFERROR(IF(OR(M214="",M214=0),0,H214*VALUE(SUBSTITUTE(M214&amp;"","$",""))),0)</f>
        <v/>
      </c>
    </row>
    <row r="215" outlineLevel="1" ht="16" customHeight="1">
      <c r="A215" s="13" t="n"/>
      <c r="B215" s="14" t="n"/>
      <c r="C215" s="15" t="n"/>
      <c r="D215" s="56" t="n"/>
      <c r="E215" s="56" t="n"/>
      <c r="F215" s="17" t="n"/>
      <c r="G215" s="18">
        <f>IF(D215="Tandem",10,IF(D215="TT",22,IF(D215="Quad",25,"")))</f>
        <v/>
      </c>
      <c r="H215" s="19">
        <f>IFERROR(IF(F215*G215=0,0,F215*G215),0)</f>
        <v/>
      </c>
      <c r="I215" s="20" t="n"/>
      <c r="J215" s="57" t="n"/>
      <c r="K215" s="14" t="n"/>
      <c r="L215" s="22" t="n"/>
      <c r="M215" s="58" t="n"/>
      <c r="N215" s="22" t="n"/>
      <c r="O215" s="24">
        <f>IFERROR(IF(OR(M215="",M215=0),0,H215*VALUE(SUBSTITUTE(M215&amp;"","$",""))),0)</f>
        <v/>
      </c>
    </row>
    <row r="216" outlineLevel="1" ht="16" customHeight="1">
      <c r="A216" s="13" t="n"/>
      <c r="B216" s="25" t="n"/>
      <c r="C216" s="26" t="n"/>
      <c r="D216" s="56" t="n"/>
      <c r="E216" s="56" t="n"/>
      <c r="F216" s="27" t="n"/>
      <c r="G216" s="18">
        <f>IF(D216="Tandem",10,IF(D216="TT",22,IF(D216="Quad",25,"")))</f>
        <v/>
      </c>
      <c r="H216" s="28">
        <f>IFERROR(IF(F216*G216=0,0,F216*G216),0)</f>
        <v/>
      </c>
      <c r="I216" s="29" t="n"/>
      <c r="J216" s="57" t="n"/>
      <c r="K216" s="25" t="n"/>
      <c r="L216" s="30" t="n"/>
      <c r="M216" s="58" t="n"/>
      <c r="N216" s="30" t="n"/>
      <c r="O216" s="24">
        <f>IFERROR(IF(OR(M216="",M216=0),0,H216*VALUE(SUBSTITUTE(M216&amp;"","$",""))),0)</f>
        <v/>
      </c>
    </row>
    <row r="217" outlineLevel="1" ht="16" customHeight="1">
      <c r="A217" s="13" t="n"/>
      <c r="B217" s="14" t="n"/>
      <c r="C217" s="15" t="n"/>
      <c r="D217" s="56" t="n"/>
      <c r="E217" s="56" t="n"/>
      <c r="F217" s="17" t="n"/>
      <c r="G217" s="18">
        <f>IF(D217="Tandem",10,IF(D217="TT",22,IF(D217="Quad",25,"")))</f>
        <v/>
      </c>
      <c r="H217" s="19">
        <f>IFERROR(IF(F217*G217=0,0,F217*G217),0)</f>
        <v/>
      </c>
      <c r="I217" s="20" t="n"/>
      <c r="J217" s="57" t="n"/>
      <c r="K217" s="14" t="n"/>
      <c r="L217" s="22" t="n"/>
      <c r="M217" s="58" t="n"/>
      <c r="N217" s="22" t="n"/>
      <c r="O217" s="24">
        <f>IFERROR(IF(OR(M217="",M217=0),0,H217*VALUE(SUBSTITUTE(M217&amp;"","$",""))),0)</f>
        <v/>
      </c>
    </row>
    <row r="218" outlineLevel="1" ht="16" customHeight="1">
      <c r="A218" s="13" t="n"/>
      <c r="B218" s="25" t="n"/>
      <c r="C218" s="26" t="n"/>
      <c r="D218" s="56" t="n"/>
      <c r="E218" s="56" t="n"/>
      <c r="F218" s="27" t="n"/>
      <c r="G218" s="18">
        <f>IF(D218="Tandem",10,IF(D218="TT",22,IF(D218="Quad",25,"")))</f>
        <v/>
      </c>
      <c r="H218" s="28">
        <f>IFERROR(IF(F218*G218=0,0,F218*G218),0)</f>
        <v/>
      </c>
      <c r="I218" s="29" t="n"/>
      <c r="J218" s="57" t="n"/>
      <c r="K218" s="25" t="n"/>
      <c r="L218" s="30" t="n"/>
      <c r="M218" s="58" t="n"/>
      <c r="N218" s="30" t="n"/>
      <c r="O218" s="24">
        <f>IFERROR(IF(OR(M218="",M218=0),0,H218*VALUE(SUBSTITUTE(M218&amp;"","$",""))),0)</f>
        <v/>
      </c>
    </row>
    <row r="219" outlineLevel="1" ht="16" customHeight="1">
      <c r="A219" s="13" t="n"/>
      <c r="B219" s="14" t="n"/>
      <c r="C219" s="15" t="n"/>
      <c r="D219" s="56" t="n"/>
      <c r="E219" s="56" t="n"/>
      <c r="F219" s="17" t="n"/>
      <c r="G219" s="18">
        <f>IF(D219="Tandem",10,IF(D219="TT",22,IF(D219="Quad",25,"")))</f>
        <v/>
      </c>
      <c r="H219" s="19">
        <f>IFERROR(IF(F219*G219=0,0,F219*G219),0)</f>
        <v/>
      </c>
      <c r="I219" s="20" t="n"/>
      <c r="J219" s="57" t="n"/>
      <c r="K219" s="14" t="n"/>
      <c r="L219" s="22" t="n"/>
      <c r="M219" s="58" t="n"/>
      <c r="N219" s="22" t="n"/>
      <c r="O219" s="24">
        <f>IFERROR(IF(OR(M219="",M219=0),0,H219*VALUE(SUBSTITUTE(M219&amp;"","$",""))),0)</f>
        <v/>
      </c>
    </row>
    <row r="220" outlineLevel="1" ht="16" customHeight="1">
      <c r="A220" s="13" t="n"/>
      <c r="B220" s="25" t="n"/>
      <c r="C220" s="26" t="n"/>
      <c r="D220" s="56" t="n"/>
      <c r="E220" s="56" t="n"/>
      <c r="F220" s="27" t="n"/>
      <c r="G220" s="18">
        <f>IF(D220="Tandem",10,IF(D220="TT",22,IF(D220="Quad",25,"")))</f>
        <v/>
      </c>
      <c r="H220" s="28">
        <f>IFERROR(IF(F220*G220=0,0,F220*G220),0)</f>
        <v/>
      </c>
      <c r="I220" s="29" t="n"/>
      <c r="J220" s="57" t="n"/>
      <c r="K220" s="25" t="n"/>
      <c r="L220" s="30" t="n"/>
      <c r="M220" s="58" t="n"/>
      <c r="N220" s="30" t="n"/>
      <c r="O220" s="24">
        <f>IFERROR(IF(OR(M220="",M220=0),0,H220*VALUE(SUBSTITUTE(M220&amp;"","$",""))),0)</f>
        <v/>
      </c>
    </row>
    <row r="221" outlineLevel="1" ht="16" customHeight="1">
      <c r="A221" s="13" t="n"/>
      <c r="B221" s="14" t="n"/>
      <c r="C221" s="15" t="n"/>
      <c r="D221" s="56" t="n"/>
      <c r="E221" s="56" t="n"/>
      <c r="F221" s="17" t="n"/>
      <c r="G221" s="18">
        <f>IF(D221="Tandem",10,IF(D221="TT",22,IF(D221="Quad",25,"")))</f>
        <v/>
      </c>
      <c r="H221" s="19">
        <f>IFERROR(IF(F221*G221=0,0,F221*G221),0)</f>
        <v/>
      </c>
      <c r="I221" s="20" t="n"/>
      <c r="J221" s="57" t="n"/>
      <c r="K221" s="14" t="n"/>
      <c r="L221" s="22" t="n"/>
      <c r="M221" s="58" t="n"/>
      <c r="N221" s="22" t="n"/>
      <c r="O221" s="24">
        <f>IFERROR(IF(OR(M221="",M221=0),0,H221*VALUE(SUBSTITUTE(M221&amp;"","$",""))),0)</f>
        <v/>
      </c>
    </row>
    <row r="222" outlineLevel="1" ht="16" customHeight="1">
      <c r="A222" s="13" t="n"/>
      <c r="B222" s="25" t="n"/>
      <c r="C222" s="26" t="n"/>
      <c r="D222" s="56" t="n"/>
      <c r="E222" s="56" t="n"/>
      <c r="F222" s="27" t="n"/>
      <c r="G222" s="18">
        <f>IF(D222="Tandem",10,IF(D222="TT",22,IF(D222="Quad",25,"")))</f>
        <v/>
      </c>
      <c r="H222" s="28">
        <f>IFERROR(IF(F222*G222=0,0,F222*G222),0)</f>
        <v/>
      </c>
      <c r="I222" s="29" t="n"/>
      <c r="J222" s="57" t="n"/>
      <c r="K222" s="25" t="n"/>
      <c r="L222" s="30" t="n"/>
      <c r="M222" s="58" t="n"/>
      <c r="N222" s="30" t="n"/>
      <c r="O222" s="24">
        <f>IFERROR(IF(OR(M222="",M222=0),0,H222*VALUE(SUBSTITUTE(M222&amp;"","$",""))),0)</f>
        <v/>
      </c>
    </row>
    <row r="223" outlineLevel="1" ht="16" customHeight="1">
      <c r="A223" s="13" t="n"/>
      <c r="B223" s="14" t="n"/>
      <c r="C223" s="15" t="n"/>
      <c r="D223" s="56" t="n"/>
      <c r="E223" s="56" t="n"/>
      <c r="F223" s="17" t="n"/>
      <c r="G223" s="18">
        <f>IF(D223="Tandem",10,IF(D223="TT",22,IF(D223="Quad",25,"")))</f>
        <v/>
      </c>
      <c r="H223" s="19">
        <f>IFERROR(IF(F223*G223=0,0,F223*G223),0)</f>
        <v/>
      </c>
      <c r="I223" s="20" t="n"/>
      <c r="J223" s="57" t="n"/>
      <c r="K223" s="14" t="n"/>
      <c r="L223" s="22" t="n"/>
      <c r="M223" s="58" t="n"/>
      <c r="N223" s="22" t="n"/>
      <c r="O223" s="24">
        <f>IFERROR(IF(OR(M223="",M223=0),0,H223*VALUE(SUBSTITUTE(M223&amp;"","$",""))),0)</f>
        <v/>
      </c>
    </row>
    <row r="224" outlineLevel="1" ht="16" customHeight="1">
      <c r="A224" s="13" t="n"/>
      <c r="B224" s="25" t="n"/>
      <c r="C224" s="26" t="n"/>
      <c r="D224" s="56" t="n"/>
      <c r="E224" s="56" t="n"/>
      <c r="F224" s="27" t="n"/>
      <c r="G224" s="18">
        <f>IF(D224="Tandem",10,IF(D224="TT",22,IF(D224="Quad",25,"")))</f>
        <v/>
      </c>
      <c r="H224" s="28">
        <f>IFERROR(IF(F224*G224=0,0,F224*G224),0)</f>
        <v/>
      </c>
      <c r="I224" s="29" t="n"/>
      <c r="J224" s="57" t="n"/>
      <c r="K224" s="25" t="n"/>
      <c r="L224" s="30" t="n"/>
      <c r="M224" s="58" t="n"/>
      <c r="N224" s="30" t="n"/>
      <c r="O224" s="24">
        <f>IFERROR(IF(OR(M224="",M224=0),0,H224*VALUE(SUBSTITUTE(M224&amp;"","$",""))),0)</f>
        <v/>
      </c>
    </row>
    <row r="225" outlineLevel="1" ht="16" customHeight="1">
      <c r="A225" s="13" t="n"/>
      <c r="B225" s="14" t="n"/>
      <c r="C225" s="15" t="n"/>
      <c r="D225" s="56" t="n"/>
      <c r="E225" s="56" t="n"/>
      <c r="F225" s="17" t="n"/>
      <c r="G225" s="18">
        <f>IF(D225="Tandem",10,IF(D225="TT",22,IF(D225="Quad",25,"")))</f>
        <v/>
      </c>
      <c r="H225" s="19">
        <f>IFERROR(IF(F225*G225=0,0,F225*G225),0)</f>
        <v/>
      </c>
      <c r="I225" s="20" t="n"/>
      <c r="J225" s="57" t="n"/>
      <c r="K225" s="14" t="n"/>
      <c r="L225" s="22" t="n"/>
      <c r="M225" s="58" t="n"/>
      <c r="N225" s="22" t="n"/>
      <c r="O225" s="24">
        <f>IFERROR(IF(OR(M225="",M225=0),0,H225*VALUE(SUBSTITUTE(M225&amp;"","$",""))),0)</f>
        <v/>
      </c>
    </row>
    <row r="226" outlineLevel="1" ht="16" customHeight="1">
      <c r="A226" s="13" t="n"/>
      <c r="B226" s="25" t="n"/>
      <c r="C226" s="26" t="n"/>
      <c r="D226" s="56" t="n"/>
      <c r="E226" s="56" t="n"/>
      <c r="F226" s="27" t="n"/>
      <c r="G226" s="18">
        <f>IF(D226="Tandem",10,IF(D226="TT",22,IF(D226="Quad",25,"")))</f>
        <v/>
      </c>
      <c r="H226" s="28">
        <f>IFERROR(IF(F226*G226=0,0,F226*G226),0)</f>
        <v/>
      </c>
      <c r="I226" s="29" t="n"/>
      <c r="J226" s="57" t="n"/>
      <c r="K226" s="25" t="n"/>
      <c r="L226" s="30" t="n"/>
      <c r="M226" s="58" t="n"/>
      <c r="N226" s="30" t="n"/>
      <c r="O226" s="24">
        <f>IFERROR(IF(OR(M226="",M226=0),0,H226*VALUE(SUBSTITUTE(M226&amp;"","$",""))),0)</f>
        <v/>
      </c>
    </row>
    <row r="227" outlineLevel="1" ht="16" customHeight="1">
      <c r="A227" s="13" t="n"/>
      <c r="B227" s="14" t="n"/>
      <c r="C227" s="15" t="n"/>
      <c r="D227" s="56" t="n"/>
      <c r="E227" s="56" t="n"/>
      <c r="F227" s="17" t="n"/>
      <c r="G227" s="18">
        <f>IF(D227="Tandem",10,IF(D227="TT",22,IF(D227="Quad",25,"")))</f>
        <v/>
      </c>
      <c r="H227" s="19">
        <f>IFERROR(IF(F227*G227=0,0,F227*G227),0)</f>
        <v/>
      </c>
      <c r="I227" s="20" t="n"/>
      <c r="J227" s="57" t="n"/>
      <c r="K227" s="14" t="n"/>
      <c r="L227" s="22" t="n"/>
      <c r="M227" s="58" t="n"/>
      <c r="N227" s="22" t="n"/>
      <c r="O227" s="24">
        <f>IFERROR(IF(OR(M227="",M227=0),0,H227*VALUE(SUBSTITUTE(M227&amp;"","$",""))),0)</f>
        <v/>
      </c>
    </row>
    <row r="228" outlineLevel="1" ht="16" customHeight="1">
      <c r="A228" s="13" t="n"/>
      <c r="B228" s="25" t="n"/>
      <c r="C228" s="26" t="n"/>
      <c r="D228" s="56" t="n"/>
      <c r="E228" s="56" t="n"/>
      <c r="F228" s="27" t="n"/>
      <c r="G228" s="18">
        <f>IF(D228="Tandem",10,IF(D228="TT",22,IF(D228="Quad",25,"")))</f>
        <v/>
      </c>
      <c r="H228" s="28">
        <f>IFERROR(IF(F228*G228=0,0,F228*G228),0)</f>
        <v/>
      </c>
      <c r="I228" s="29" t="n"/>
      <c r="J228" s="57" t="n"/>
      <c r="K228" s="25" t="n"/>
      <c r="L228" s="30" t="n"/>
      <c r="M228" s="58" t="n"/>
      <c r="N228" s="30" t="n"/>
      <c r="O228" s="24">
        <f>IFERROR(IF(OR(M228="",M228=0),0,H228*VALUE(SUBSTITUTE(M228&amp;"","$",""))),0)</f>
        <v/>
      </c>
    </row>
    <row r="229" outlineLevel="1" ht="20" customHeight="1">
      <c r="A229" s="59" t="inlineStr">
        <is>
          <t>Daily Notes:</t>
        </is>
      </c>
      <c r="B229" s="54" t="n"/>
      <c r="C229" s="54" t="n"/>
      <c r="D229" s="54" t="n"/>
      <c r="E229" s="54" t="n"/>
      <c r="F229" s="54" t="n"/>
      <c r="G229" s="54" t="n"/>
      <c r="H229" s="54" t="n"/>
      <c r="I229" s="54" t="n"/>
      <c r="J229" s="54" t="n"/>
      <c r="K229" s="54" t="n"/>
      <c r="L229" s="54" t="n"/>
      <c r="M229" s="54" t="n"/>
      <c r="N229" s="50" t="n"/>
      <c r="O229" s="60" t="n"/>
    </row>
    <row r="230" outlineLevel="1" ht="18" customHeight="1">
      <c r="A230" s="32" t="inlineStr">
        <is>
          <t>DAILY TOTAL</t>
        </is>
      </c>
      <c r="B230" s="54" t="n"/>
      <c r="C230" s="54" t="n"/>
      <c r="D230" s="54" t="n"/>
      <c r="E230" s="54" t="n"/>
      <c r="F230" s="54" t="n"/>
      <c r="G230" s="50" t="n"/>
      <c r="H230" s="34">
        <f>SUM(H199:H228)</f>
        <v/>
      </c>
      <c r="I230" s="35">
        <f>SUM(I199:I228)</f>
        <v/>
      </c>
      <c r="J230" s="61" t="n"/>
      <c r="K230" s="61" t="n"/>
      <c r="L230" s="61" t="n"/>
      <c r="M230" s="36">
        <f>SUM(O199:O228)</f>
        <v/>
      </c>
      <c r="N230" s="61" t="n"/>
      <c r="O230" s="62" t="n"/>
    </row>
    <row r="231" outlineLevel="1" ht="18" customHeight="1">
      <c r="A231" s="2" t="inlineStr">
        <is>
          <t>▶ RUNNING TOTAL</t>
        </is>
      </c>
      <c r="B231" s="54" t="n"/>
      <c r="C231" s="54" t="n"/>
      <c r="D231" s="54" t="n"/>
      <c r="E231" s="54" t="n"/>
      <c r="F231" s="54" t="n"/>
      <c r="G231" s="50" t="n"/>
      <c r="H231" s="37">
        <f>H50+H86+H122+H158+H194+H230</f>
        <v/>
      </c>
      <c r="I231" s="63" t="n"/>
      <c r="J231" s="63" t="n"/>
      <c r="K231" s="63" t="n"/>
      <c r="L231" s="63" t="n"/>
      <c r="M231" s="38">
        <f>M50+M86+M122+M158+M194+M230</f>
        <v/>
      </c>
      <c r="N231" s="63" t="n"/>
      <c r="O231" s="64" t="n"/>
    </row>
    <row r="232" outlineLevel="1" ht="8" customHeight="1"/>
    <row r="233" ht="22" customHeight="1">
      <c r="A233" s="55" t="inlineStr">
        <is>
          <t>DAY 7</t>
        </is>
      </c>
      <c r="B233" s="54" t="n"/>
      <c r="C233" s="54" t="n"/>
      <c r="D233" s="54" t="n"/>
      <c r="E233" s="54" t="n"/>
      <c r="F233" s="54" t="n"/>
      <c r="G233" s="54" t="n"/>
      <c r="H233" s="54" t="n"/>
      <c r="I233" s="54" t="n"/>
      <c r="J233" s="54" t="n"/>
      <c r="K233" s="54" t="n"/>
      <c r="L233" s="54" t="n"/>
      <c r="M233" s="54" t="n"/>
      <c r="N233" s="50" t="n"/>
    </row>
    <row r="234" outlineLevel="1" ht="28" customHeight="1">
      <c r="A234" s="12" t="inlineStr">
        <is>
          <t>Date</t>
        </is>
      </c>
      <c r="B234" s="12" t="inlineStr">
        <is>
          <t>Cartage Company</t>
        </is>
      </c>
      <c r="C234" s="12" t="inlineStr">
        <is>
          <t>Truck Rego</t>
        </is>
      </c>
      <c r="D234" s="12" t="inlineStr">
        <is>
          <t>Truck Type</t>
        </is>
      </c>
      <c r="E234" s="12" t="inlineStr">
        <is>
          <t>Exp / Imp</t>
        </is>
      </c>
      <c r="F234" s="12" t="inlineStr">
        <is>
          <t>Loads</t>
        </is>
      </c>
      <c r="G234" s="12" t="inlineStr">
        <is>
          <t>m³ / Load</t>
        </is>
      </c>
      <c r="H234" s="12" t="inlineStr">
        <is>
          <t>Total m³</t>
        </is>
      </c>
      <c r="I234" s="12" t="inlineStr">
        <is>
          <t>Hours</t>
        </is>
      </c>
      <c r="J234" s="12" t="inlineStr">
        <is>
          <t>Material</t>
        </is>
      </c>
      <c r="K234" s="12" t="inlineStr">
        <is>
          <t>Tip Site</t>
        </is>
      </c>
      <c r="L234" s="12" t="inlineStr">
        <is>
          <t>Docket #</t>
        </is>
      </c>
      <c r="M234" s="12" t="inlineStr">
        <is>
          <t>Rate Paid ($/m³)</t>
        </is>
      </c>
      <c r="N234" s="12" t="inlineStr">
        <is>
          <t>Invoice #</t>
        </is>
      </c>
    </row>
    <row r="235" outlineLevel="1" ht="16" customHeight="1">
      <c r="A235" s="13" t="n"/>
      <c r="B235" s="14" t="n"/>
      <c r="C235" s="15" t="n"/>
      <c r="D235" s="56" t="n"/>
      <c r="E235" s="56" t="n"/>
      <c r="F235" s="17" t="n"/>
      <c r="G235" s="18">
        <f>IF(D235="Tandem",10,IF(D235="TT",22,IF(D235="Quad",25,"")))</f>
        <v/>
      </c>
      <c r="H235" s="19">
        <f>IFERROR(IF(F235*G235=0,0,F235*G235),0)</f>
        <v/>
      </c>
      <c r="I235" s="20" t="n"/>
      <c r="J235" s="57" t="n"/>
      <c r="K235" s="14" t="n"/>
      <c r="L235" s="22" t="n"/>
      <c r="M235" s="58" t="n"/>
      <c r="N235" s="22" t="n"/>
      <c r="O235" s="24">
        <f>IFERROR(IF(OR(M235="",M235=0),0,H235*VALUE(SUBSTITUTE(M235&amp;"","$",""))),0)</f>
        <v/>
      </c>
    </row>
    <row r="236" outlineLevel="1" ht="16" customHeight="1">
      <c r="A236" s="13" t="n"/>
      <c r="B236" s="25" t="n"/>
      <c r="C236" s="26" t="n"/>
      <c r="D236" s="56" t="n"/>
      <c r="E236" s="56" t="n"/>
      <c r="F236" s="27" t="n"/>
      <c r="G236" s="18">
        <f>IF(D236="Tandem",10,IF(D236="TT",22,IF(D236="Quad",25,"")))</f>
        <v/>
      </c>
      <c r="H236" s="28">
        <f>IFERROR(IF(F236*G236=0,0,F236*G236),0)</f>
        <v/>
      </c>
      <c r="I236" s="29" t="n"/>
      <c r="J236" s="57" t="n"/>
      <c r="K236" s="25" t="n"/>
      <c r="L236" s="30" t="n"/>
      <c r="M236" s="58" t="n"/>
      <c r="N236" s="30" t="n"/>
      <c r="O236" s="24">
        <f>IFERROR(IF(OR(M236="",M236=0),0,H236*VALUE(SUBSTITUTE(M236&amp;"","$",""))),0)</f>
        <v/>
      </c>
    </row>
    <row r="237" outlineLevel="1" ht="16" customHeight="1">
      <c r="A237" s="13" t="n"/>
      <c r="B237" s="14" t="n"/>
      <c r="C237" s="15" t="n"/>
      <c r="D237" s="56" t="n"/>
      <c r="E237" s="56" t="n"/>
      <c r="F237" s="17" t="n"/>
      <c r="G237" s="18">
        <f>IF(D237="Tandem",10,IF(D237="TT",22,IF(D237="Quad",25,"")))</f>
        <v/>
      </c>
      <c r="H237" s="19">
        <f>IFERROR(IF(F237*G237=0,0,F237*G237),0)</f>
        <v/>
      </c>
      <c r="I237" s="20" t="n"/>
      <c r="J237" s="57" t="n"/>
      <c r="K237" s="14" t="n"/>
      <c r="L237" s="22" t="n"/>
      <c r="M237" s="58" t="n"/>
      <c r="N237" s="22" t="n"/>
      <c r="O237" s="24">
        <f>IFERROR(IF(OR(M237="",M237=0),0,H237*VALUE(SUBSTITUTE(M237&amp;"","$",""))),0)</f>
        <v/>
      </c>
    </row>
    <row r="238" outlineLevel="1" ht="16" customHeight="1">
      <c r="A238" s="13" t="n"/>
      <c r="B238" s="25" t="n"/>
      <c r="C238" s="26" t="n"/>
      <c r="D238" s="56" t="n"/>
      <c r="E238" s="56" t="n"/>
      <c r="F238" s="27" t="n"/>
      <c r="G238" s="18">
        <f>IF(D238="Tandem",10,IF(D238="TT",22,IF(D238="Quad",25,"")))</f>
        <v/>
      </c>
      <c r="H238" s="28">
        <f>IFERROR(IF(F238*G238=0,0,F238*G238),0)</f>
        <v/>
      </c>
      <c r="I238" s="29" t="n"/>
      <c r="J238" s="57" t="n"/>
      <c r="K238" s="25" t="n"/>
      <c r="L238" s="30" t="n"/>
      <c r="M238" s="58" t="n"/>
      <c r="N238" s="30" t="n"/>
      <c r="O238" s="24">
        <f>IFERROR(IF(OR(M238="",M238=0),0,H238*VALUE(SUBSTITUTE(M238&amp;"","$",""))),0)</f>
        <v/>
      </c>
    </row>
    <row r="239" outlineLevel="1" ht="16" customHeight="1">
      <c r="A239" s="13" t="n"/>
      <c r="B239" s="14" t="n"/>
      <c r="C239" s="15" t="n"/>
      <c r="D239" s="56" t="n"/>
      <c r="E239" s="56" t="n"/>
      <c r="F239" s="17" t="n"/>
      <c r="G239" s="18">
        <f>IF(D239="Tandem",10,IF(D239="TT",22,IF(D239="Quad",25,"")))</f>
        <v/>
      </c>
      <c r="H239" s="19">
        <f>IFERROR(IF(F239*G239=0,0,F239*G239),0)</f>
        <v/>
      </c>
      <c r="I239" s="20" t="n"/>
      <c r="J239" s="57" t="n"/>
      <c r="K239" s="14" t="n"/>
      <c r="L239" s="22" t="n"/>
      <c r="M239" s="58" t="n"/>
      <c r="N239" s="22" t="n"/>
      <c r="O239" s="24">
        <f>IFERROR(IF(OR(M239="",M239=0),0,H239*VALUE(SUBSTITUTE(M239&amp;"","$",""))),0)</f>
        <v/>
      </c>
    </row>
    <row r="240" outlineLevel="1" ht="16" customHeight="1">
      <c r="A240" s="13" t="n"/>
      <c r="B240" s="25" t="n"/>
      <c r="C240" s="26" t="n"/>
      <c r="D240" s="56" t="n"/>
      <c r="E240" s="56" t="n"/>
      <c r="F240" s="27" t="n"/>
      <c r="G240" s="18">
        <f>IF(D240="Tandem",10,IF(D240="TT",22,IF(D240="Quad",25,"")))</f>
        <v/>
      </c>
      <c r="H240" s="28">
        <f>IFERROR(IF(F240*G240=0,0,F240*G240),0)</f>
        <v/>
      </c>
      <c r="I240" s="29" t="n"/>
      <c r="J240" s="57" t="n"/>
      <c r="K240" s="25" t="n"/>
      <c r="L240" s="30" t="n"/>
      <c r="M240" s="58" t="n"/>
      <c r="N240" s="30" t="n"/>
      <c r="O240" s="24">
        <f>IFERROR(IF(OR(M240="",M240=0),0,H240*VALUE(SUBSTITUTE(M240&amp;"","$",""))),0)</f>
        <v/>
      </c>
    </row>
    <row r="241" outlineLevel="1" ht="16" customHeight="1">
      <c r="A241" s="13" t="n"/>
      <c r="B241" s="14" t="n"/>
      <c r="C241" s="15" t="n"/>
      <c r="D241" s="56" t="n"/>
      <c r="E241" s="56" t="n"/>
      <c r="F241" s="17" t="n"/>
      <c r="G241" s="18">
        <f>IF(D241="Tandem",10,IF(D241="TT",22,IF(D241="Quad",25,"")))</f>
        <v/>
      </c>
      <c r="H241" s="19">
        <f>IFERROR(IF(F241*G241=0,0,F241*G241),0)</f>
        <v/>
      </c>
      <c r="I241" s="20" t="n"/>
      <c r="J241" s="57" t="n"/>
      <c r="K241" s="14" t="n"/>
      <c r="L241" s="22" t="n"/>
      <c r="M241" s="58" t="n"/>
      <c r="N241" s="22" t="n"/>
      <c r="O241" s="24">
        <f>IFERROR(IF(OR(M241="",M241=0),0,H241*VALUE(SUBSTITUTE(M241&amp;"","$",""))),0)</f>
        <v/>
      </c>
    </row>
    <row r="242" outlineLevel="1" ht="16" customHeight="1">
      <c r="A242" s="13" t="n"/>
      <c r="B242" s="25" t="n"/>
      <c r="C242" s="26" t="n"/>
      <c r="D242" s="56" t="n"/>
      <c r="E242" s="56" t="n"/>
      <c r="F242" s="27" t="n"/>
      <c r="G242" s="18">
        <f>IF(D242="Tandem",10,IF(D242="TT",22,IF(D242="Quad",25,"")))</f>
        <v/>
      </c>
      <c r="H242" s="28">
        <f>IFERROR(IF(F242*G242=0,0,F242*G242),0)</f>
        <v/>
      </c>
      <c r="I242" s="29" t="n"/>
      <c r="J242" s="57" t="n"/>
      <c r="K242" s="25" t="n"/>
      <c r="L242" s="30" t="n"/>
      <c r="M242" s="58" t="n"/>
      <c r="N242" s="30" t="n"/>
      <c r="O242" s="24">
        <f>IFERROR(IF(OR(M242="",M242=0),0,H242*VALUE(SUBSTITUTE(M242&amp;"","$",""))),0)</f>
        <v/>
      </c>
    </row>
    <row r="243" outlineLevel="1" ht="16" customHeight="1">
      <c r="A243" s="13" t="n"/>
      <c r="B243" s="14" t="n"/>
      <c r="C243" s="15" t="n"/>
      <c r="D243" s="56" t="n"/>
      <c r="E243" s="56" t="n"/>
      <c r="F243" s="17" t="n"/>
      <c r="G243" s="18">
        <f>IF(D243="Tandem",10,IF(D243="TT",22,IF(D243="Quad",25,"")))</f>
        <v/>
      </c>
      <c r="H243" s="19">
        <f>IFERROR(IF(F243*G243=0,0,F243*G243),0)</f>
        <v/>
      </c>
      <c r="I243" s="20" t="n"/>
      <c r="J243" s="57" t="n"/>
      <c r="K243" s="14" t="n"/>
      <c r="L243" s="22" t="n"/>
      <c r="M243" s="58" t="n"/>
      <c r="N243" s="22" t="n"/>
      <c r="O243" s="24">
        <f>IFERROR(IF(OR(M243="",M243=0),0,H243*VALUE(SUBSTITUTE(M243&amp;"","$",""))),0)</f>
        <v/>
      </c>
    </row>
    <row r="244" outlineLevel="1" ht="16" customHeight="1">
      <c r="A244" s="13" t="n"/>
      <c r="B244" s="25" t="n"/>
      <c r="C244" s="26" t="n"/>
      <c r="D244" s="56" t="n"/>
      <c r="E244" s="56" t="n"/>
      <c r="F244" s="27" t="n"/>
      <c r="G244" s="18">
        <f>IF(D244="Tandem",10,IF(D244="TT",22,IF(D244="Quad",25,"")))</f>
        <v/>
      </c>
      <c r="H244" s="28">
        <f>IFERROR(IF(F244*G244=0,0,F244*G244),0)</f>
        <v/>
      </c>
      <c r="I244" s="29" t="n"/>
      <c r="J244" s="57" t="n"/>
      <c r="K244" s="25" t="n"/>
      <c r="L244" s="30" t="n"/>
      <c r="M244" s="58" t="n"/>
      <c r="N244" s="30" t="n"/>
      <c r="O244" s="24">
        <f>IFERROR(IF(OR(M244="",M244=0),0,H244*VALUE(SUBSTITUTE(M244&amp;"","$",""))),0)</f>
        <v/>
      </c>
    </row>
    <row r="245" outlineLevel="1" ht="16" customHeight="1">
      <c r="A245" s="13" t="n"/>
      <c r="B245" s="14" t="n"/>
      <c r="C245" s="15" t="n"/>
      <c r="D245" s="56" t="n"/>
      <c r="E245" s="56" t="n"/>
      <c r="F245" s="17" t="n"/>
      <c r="G245" s="18">
        <f>IF(D245="Tandem",10,IF(D245="TT",22,IF(D245="Quad",25,"")))</f>
        <v/>
      </c>
      <c r="H245" s="19">
        <f>IFERROR(IF(F245*G245=0,0,F245*G245),0)</f>
        <v/>
      </c>
      <c r="I245" s="20" t="n"/>
      <c r="J245" s="57" t="n"/>
      <c r="K245" s="14" t="n"/>
      <c r="L245" s="22" t="n"/>
      <c r="M245" s="58" t="n"/>
      <c r="N245" s="22" t="n"/>
      <c r="O245" s="24">
        <f>IFERROR(IF(OR(M245="",M245=0),0,H245*VALUE(SUBSTITUTE(M245&amp;"","$",""))),0)</f>
        <v/>
      </c>
    </row>
    <row r="246" outlineLevel="1" ht="16" customHeight="1">
      <c r="A246" s="13" t="n"/>
      <c r="B246" s="25" t="n"/>
      <c r="C246" s="26" t="n"/>
      <c r="D246" s="56" t="n"/>
      <c r="E246" s="56" t="n"/>
      <c r="F246" s="27" t="n"/>
      <c r="G246" s="18">
        <f>IF(D246="Tandem",10,IF(D246="TT",22,IF(D246="Quad",25,"")))</f>
        <v/>
      </c>
      <c r="H246" s="28">
        <f>IFERROR(IF(F246*G246=0,0,F246*G246),0)</f>
        <v/>
      </c>
      <c r="I246" s="29" t="n"/>
      <c r="J246" s="57" t="n"/>
      <c r="K246" s="25" t="n"/>
      <c r="L246" s="30" t="n"/>
      <c r="M246" s="58" t="n"/>
      <c r="N246" s="30" t="n"/>
      <c r="O246" s="24">
        <f>IFERROR(IF(OR(M246="",M246=0),0,H246*VALUE(SUBSTITUTE(M246&amp;"","$",""))),0)</f>
        <v/>
      </c>
    </row>
    <row r="247" outlineLevel="1" ht="16" customHeight="1">
      <c r="A247" s="13" t="n"/>
      <c r="B247" s="14" t="n"/>
      <c r="C247" s="15" t="n"/>
      <c r="D247" s="56" t="n"/>
      <c r="E247" s="56" t="n"/>
      <c r="F247" s="17" t="n"/>
      <c r="G247" s="18">
        <f>IF(D247="Tandem",10,IF(D247="TT",22,IF(D247="Quad",25,"")))</f>
        <v/>
      </c>
      <c r="H247" s="19">
        <f>IFERROR(IF(F247*G247=0,0,F247*G247),0)</f>
        <v/>
      </c>
      <c r="I247" s="20" t="n"/>
      <c r="J247" s="57" t="n"/>
      <c r="K247" s="14" t="n"/>
      <c r="L247" s="22" t="n"/>
      <c r="M247" s="58" t="n"/>
      <c r="N247" s="22" t="n"/>
      <c r="O247" s="24">
        <f>IFERROR(IF(OR(M247="",M247=0),0,H247*VALUE(SUBSTITUTE(M247&amp;"","$",""))),0)</f>
        <v/>
      </c>
    </row>
    <row r="248" outlineLevel="1" ht="16" customHeight="1">
      <c r="A248" s="13" t="n"/>
      <c r="B248" s="25" t="n"/>
      <c r="C248" s="26" t="n"/>
      <c r="D248" s="56" t="n"/>
      <c r="E248" s="56" t="n"/>
      <c r="F248" s="27" t="n"/>
      <c r="G248" s="18">
        <f>IF(D248="Tandem",10,IF(D248="TT",22,IF(D248="Quad",25,"")))</f>
        <v/>
      </c>
      <c r="H248" s="28">
        <f>IFERROR(IF(F248*G248=0,0,F248*G248),0)</f>
        <v/>
      </c>
      <c r="I248" s="29" t="n"/>
      <c r="J248" s="57" t="n"/>
      <c r="K248" s="25" t="n"/>
      <c r="L248" s="30" t="n"/>
      <c r="M248" s="58" t="n"/>
      <c r="N248" s="30" t="n"/>
      <c r="O248" s="24">
        <f>IFERROR(IF(OR(M248="",M248=0),0,H248*VALUE(SUBSTITUTE(M248&amp;"","$",""))),0)</f>
        <v/>
      </c>
    </row>
    <row r="249" outlineLevel="1" ht="16" customHeight="1">
      <c r="A249" s="13" t="n"/>
      <c r="B249" s="14" t="n"/>
      <c r="C249" s="15" t="n"/>
      <c r="D249" s="56" t="n"/>
      <c r="E249" s="56" t="n"/>
      <c r="F249" s="17" t="n"/>
      <c r="G249" s="18">
        <f>IF(D249="Tandem",10,IF(D249="TT",22,IF(D249="Quad",25,"")))</f>
        <v/>
      </c>
      <c r="H249" s="19">
        <f>IFERROR(IF(F249*G249=0,0,F249*G249),0)</f>
        <v/>
      </c>
      <c r="I249" s="20" t="n"/>
      <c r="J249" s="57" t="n"/>
      <c r="K249" s="14" t="n"/>
      <c r="L249" s="22" t="n"/>
      <c r="M249" s="58" t="n"/>
      <c r="N249" s="22" t="n"/>
      <c r="O249" s="24">
        <f>IFERROR(IF(OR(M249="",M249=0),0,H249*VALUE(SUBSTITUTE(M249&amp;"","$",""))),0)</f>
        <v/>
      </c>
    </row>
    <row r="250" outlineLevel="1" ht="16" customHeight="1">
      <c r="A250" s="13" t="n"/>
      <c r="B250" s="25" t="n"/>
      <c r="C250" s="26" t="n"/>
      <c r="D250" s="56" t="n"/>
      <c r="E250" s="56" t="n"/>
      <c r="F250" s="27" t="n"/>
      <c r="G250" s="18">
        <f>IF(D250="Tandem",10,IF(D250="TT",22,IF(D250="Quad",25,"")))</f>
        <v/>
      </c>
      <c r="H250" s="28">
        <f>IFERROR(IF(F250*G250=0,0,F250*G250),0)</f>
        <v/>
      </c>
      <c r="I250" s="29" t="n"/>
      <c r="J250" s="57" t="n"/>
      <c r="K250" s="25" t="n"/>
      <c r="L250" s="30" t="n"/>
      <c r="M250" s="58" t="n"/>
      <c r="N250" s="30" t="n"/>
      <c r="O250" s="24">
        <f>IFERROR(IF(OR(M250="",M250=0),0,H250*VALUE(SUBSTITUTE(M250&amp;"","$",""))),0)</f>
        <v/>
      </c>
    </row>
    <row r="251" outlineLevel="1" ht="16" customHeight="1">
      <c r="A251" s="13" t="n"/>
      <c r="B251" s="14" t="n"/>
      <c r="C251" s="15" t="n"/>
      <c r="D251" s="56" t="n"/>
      <c r="E251" s="56" t="n"/>
      <c r="F251" s="17" t="n"/>
      <c r="G251" s="18">
        <f>IF(D251="Tandem",10,IF(D251="TT",22,IF(D251="Quad",25,"")))</f>
        <v/>
      </c>
      <c r="H251" s="19">
        <f>IFERROR(IF(F251*G251=0,0,F251*G251),0)</f>
        <v/>
      </c>
      <c r="I251" s="20" t="n"/>
      <c r="J251" s="57" t="n"/>
      <c r="K251" s="14" t="n"/>
      <c r="L251" s="22" t="n"/>
      <c r="M251" s="58" t="n"/>
      <c r="N251" s="22" t="n"/>
      <c r="O251" s="24">
        <f>IFERROR(IF(OR(M251="",M251=0),0,H251*VALUE(SUBSTITUTE(M251&amp;"","$",""))),0)</f>
        <v/>
      </c>
    </row>
    <row r="252" outlineLevel="1" ht="16" customHeight="1">
      <c r="A252" s="13" t="n"/>
      <c r="B252" s="25" t="n"/>
      <c r="C252" s="26" t="n"/>
      <c r="D252" s="56" t="n"/>
      <c r="E252" s="56" t="n"/>
      <c r="F252" s="27" t="n"/>
      <c r="G252" s="18">
        <f>IF(D252="Tandem",10,IF(D252="TT",22,IF(D252="Quad",25,"")))</f>
        <v/>
      </c>
      <c r="H252" s="28">
        <f>IFERROR(IF(F252*G252=0,0,F252*G252),0)</f>
        <v/>
      </c>
      <c r="I252" s="29" t="n"/>
      <c r="J252" s="57" t="n"/>
      <c r="K252" s="25" t="n"/>
      <c r="L252" s="30" t="n"/>
      <c r="M252" s="58" t="n"/>
      <c r="N252" s="30" t="n"/>
      <c r="O252" s="24">
        <f>IFERROR(IF(OR(M252="",M252=0),0,H252*VALUE(SUBSTITUTE(M252&amp;"","$",""))),0)</f>
        <v/>
      </c>
    </row>
    <row r="253" outlineLevel="1" ht="16" customHeight="1">
      <c r="A253" s="13" t="n"/>
      <c r="B253" s="14" t="n"/>
      <c r="C253" s="15" t="n"/>
      <c r="D253" s="56" t="n"/>
      <c r="E253" s="56" t="n"/>
      <c r="F253" s="17" t="n"/>
      <c r="G253" s="18">
        <f>IF(D253="Tandem",10,IF(D253="TT",22,IF(D253="Quad",25,"")))</f>
        <v/>
      </c>
      <c r="H253" s="19">
        <f>IFERROR(IF(F253*G253=0,0,F253*G253),0)</f>
        <v/>
      </c>
      <c r="I253" s="20" t="n"/>
      <c r="J253" s="57" t="n"/>
      <c r="K253" s="14" t="n"/>
      <c r="L253" s="22" t="n"/>
      <c r="M253" s="58" t="n"/>
      <c r="N253" s="22" t="n"/>
      <c r="O253" s="24">
        <f>IFERROR(IF(OR(M253="",M253=0),0,H253*VALUE(SUBSTITUTE(M253&amp;"","$",""))),0)</f>
        <v/>
      </c>
    </row>
    <row r="254" outlineLevel="1" ht="16" customHeight="1">
      <c r="A254" s="13" t="n"/>
      <c r="B254" s="25" t="n"/>
      <c r="C254" s="26" t="n"/>
      <c r="D254" s="56" t="n"/>
      <c r="E254" s="56" t="n"/>
      <c r="F254" s="27" t="n"/>
      <c r="G254" s="18">
        <f>IF(D254="Tandem",10,IF(D254="TT",22,IF(D254="Quad",25,"")))</f>
        <v/>
      </c>
      <c r="H254" s="28">
        <f>IFERROR(IF(F254*G254=0,0,F254*G254),0)</f>
        <v/>
      </c>
      <c r="I254" s="29" t="n"/>
      <c r="J254" s="57" t="n"/>
      <c r="K254" s="25" t="n"/>
      <c r="L254" s="30" t="n"/>
      <c r="M254" s="58" t="n"/>
      <c r="N254" s="30" t="n"/>
      <c r="O254" s="24">
        <f>IFERROR(IF(OR(M254="",M254=0),0,H254*VALUE(SUBSTITUTE(M254&amp;"","$",""))),0)</f>
        <v/>
      </c>
    </row>
    <row r="255" outlineLevel="1" ht="16" customHeight="1">
      <c r="A255" s="13" t="n"/>
      <c r="B255" s="14" t="n"/>
      <c r="C255" s="15" t="n"/>
      <c r="D255" s="56" t="n"/>
      <c r="E255" s="56" t="n"/>
      <c r="F255" s="17" t="n"/>
      <c r="G255" s="18">
        <f>IF(D255="Tandem",10,IF(D255="TT",22,IF(D255="Quad",25,"")))</f>
        <v/>
      </c>
      <c r="H255" s="19">
        <f>IFERROR(IF(F255*G255=0,0,F255*G255),0)</f>
        <v/>
      </c>
      <c r="I255" s="20" t="n"/>
      <c r="J255" s="57" t="n"/>
      <c r="K255" s="14" t="n"/>
      <c r="L255" s="22" t="n"/>
      <c r="M255" s="58" t="n"/>
      <c r="N255" s="22" t="n"/>
      <c r="O255" s="24">
        <f>IFERROR(IF(OR(M255="",M255=0),0,H255*VALUE(SUBSTITUTE(M255&amp;"","$",""))),0)</f>
        <v/>
      </c>
    </row>
    <row r="256" outlineLevel="1" ht="16" customHeight="1">
      <c r="A256" s="13" t="n"/>
      <c r="B256" s="25" t="n"/>
      <c r="C256" s="26" t="n"/>
      <c r="D256" s="56" t="n"/>
      <c r="E256" s="56" t="n"/>
      <c r="F256" s="27" t="n"/>
      <c r="G256" s="18">
        <f>IF(D256="Tandem",10,IF(D256="TT",22,IF(D256="Quad",25,"")))</f>
        <v/>
      </c>
      <c r="H256" s="28">
        <f>IFERROR(IF(F256*G256=0,0,F256*G256),0)</f>
        <v/>
      </c>
      <c r="I256" s="29" t="n"/>
      <c r="J256" s="57" t="n"/>
      <c r="K256" s="25" t="n"/>
      <c r="L256" s="30" t="n"/>
      <c r="M256" s="58" t="n"/>
      <c r="N256" s="30" t="n"/>
      <c r="O256" s="24">
        <f>IFERROR(IF(OR(M256="",M256=0),0,H256*VALUE(SUBSTITUTE(M256&amp;"","$",""))),0)</f>
        <v/>
      </c>
    </row>
    <row r="257" outlineLevel="1" ht="16" customHeight="1">
      <c r="A257" s="13" t="n"/>
      <c r="B257" s="14" t="n"/>
      <c r="C257" s="15" t="n"/>
      <c r="D257" s="56" t="n"/>
      <c r="E257" s="56" t="n"/>
      <c r="F257" s="17" t="n"/>
      <c r="G257" s="18">
        <f>IF(D257="Tandem",10,IF(D257="TT",22,IF(D257="Quad",25,"")))</f>
        <v/>
      </c>
      <c r="H257" s="19">
        <f>IFERROR(IF(F257*G257=0,0,F257*G257),0)</f>
        <v/>
      </c>
      <c r="I257" s="20" t="n"/>
      <c r="J257" s="57" t="n"/>
      <c r="K257" s="14" t="n"/>
      <c r="L257" s="22" t="n"/>
      <c r="M257" s="58" t="n"/>
      <c r="N257" s="22" t="n"/>
      <c r="O257" s="24">
        <f>IFERROR(IF(OR(M257="",M257=0),0,H257*VALUE(SUBSTITUTE(M257&amp;"","$",""))),0)</f>
        <v/>
      </c>
    </row>
    <row r="258" outlineLevel="1" ht="16" customHeight="1">
      <c r="A258" s="13" t="n"/>
      <c r="B258" s="25" t="n"/>
      <c r="C258" s="26" t="n"/>
      <c r="D258" s="56" t="n"/>
      <c r="E258" s="56" t="n"/>
      <c r="F258" s="27" t="n"/>
      <c r="G258" s="18">
        <f>IF(D258="Tandem",10,IF(D258="TT",22,IF(D258="Quad",25,"")))</f>
        <v/>
      </c>
      <c r="H258" s="28">
        <f>IFERROR(IF(F258*G258=0,0,F258*G258),0)</f>
        <v/>
      </c>
      <c r="I258" s="29" t="n"/>
      <c r="J258" s="57" t="n"/>
      <c r="K258" s="25" t="n"/>
      <c r="L258" s="30" t="n"/>
      <c r="M258" s="58" t="n"/>
      <c r="N258" s="30" t="n"/>
      <c r="O258" s="24">
        <f>IFERROR(IF(OR(M258="",M258=0),0,H258*VALUE(SUBSTITUTE(M258&amp;"","$",""))),0)</f>
        <v/>
      </c>
    </row>
    <row r="259" outlineLevel="1" ht="16" customHeight="1">
      <c r="A259" s="13" t="n"/>
      <c r="B259" s="14" t="n"/>
      <c r="C259" s="15" t="n"/>
      <c r="D259" s="56" t="n"/>
      <c r="E259" s="56" t="n"/>
      <c r="F259" s="17" t="n"/>
      <c r="G259" s="18">
        <f>IF(D259="Tandem",10,IF(D259="TT",22,IF(D259="Quad",25,"")))</f>
        <v/>
      </c>
      <c r="H259" s="19">
        <f>IFERROR(IF(F259*G259=0,0,F259*G259),0)</f>
        <v/>
      </c>
      <c r="I259" s="20" t="n"/>
      <c r="J259" s="57" t="n"/>
      <c r="K259" s="14" t="n"/>
      <c r="L259" s="22" t="n"/>
      <c r="M259" s="58" t="n"/>
      <c r="N259" s="22" t="n"/>
      <c r="O259" s="24">
        <f>IFERROR(IF(OR(M259="",M259=0),0,H259*VALUE(SUBSTITUTE(M259&amp;"","$",""))),0)</f>
        <v/>
      </c>
    </row>
    <row r="260" outlineLevel="1" ht="16" customHeight="1">
      <c r="A260" s="13" t="n"/>
      <c r="B260" s="25" t="n"/>
      <c r="C260" s="26" t="n"/>
      <c r="D260" s="56" t="n"/>
      <c r="E260" s="56" t="n"/>
      <c r="F260" s="27" t="n"/>
      <c r="G260" s="18">
        <f>IF(D260="Tandem",10,IF(D260="TT",22,IF(D260="Quad",25,"")))</f>
        <v/>
      </c>
      <c r="H260" s="28">
        <f>IFERROR(IF(F260*G260=0,0,F260*G260),0)</f>
        <v/>
      </c>
      <c r="I260" s="29" t="n"/>
      <c r="J260" s="57" t="n"/>
      <c r="K260" s="25" t="n"/>
      <c r="L260" s="30" t="n"/>
      <c r="M260" s="58" t="n"/>
      <c r="N260" s="30" t="n"/>
      <c r="O260" s="24">
        <f>IFERROR(IF(OR(M260="",M260=0),0,H260*VALUE(SUBSTITUTE(M260&amp;"","$",""))),0)</f>
        <v/>
      </c>
    </row>
    <row r="261" outlineLevel="1" ht="16" customHeight="1">
      <c r="A261" s="13" t="n"/>
      <c r="B261" s="14" t="n"/>
      <c r="C261" s="15" t="n"/>
      <c r="D261" s="56" t="n"/>
      <c r="E261" s="56" t="n"/>
      <c r="F261" s="17" t="n"/>
      <c r="G261" s="18">
        <f>IF(D261="Tandem",10,IF(D261="TT",22,IF(D261="Quad",25,"")))</f>
        <v/>
      </c>
      <c r="H261" s="19">
        <f>IFERROR(IF(F261*G261=0,0,F261*G261),0)</f>
        <v/>
      </c>
      <c r="I261" s="20" t="n"/>
      <c r="J261" s="57" t="n"/>
      <c r="K261" s="14" t="n"/>
      <c r="L261" s="22" t="n"/>
      <c r="M261" s="58" t="n"/>
      <c r="N261" s="22" t="n"/>
      <c r="O261" s="24">
        <f>IFERROR(IF(OR(M261="",M261=0),0,H261*VALUE(SUBSTITUTE(M261&amp;"","$",""))),0)</f>
        <v/>
      </c>
    </row>
    <row r="262" outlineLevel="1" ht="16" customHeight="1">
      <c r="A262" s="13" t="n"/>
      <c r="B262" s="25" t="n"/>
      <c r="C262" s="26" t="n"/>
      <c r="D262" s="56" t="n"/>
      <c r="E262" s="56" t="n"/>
      <c r="F262" s="27" t="n"/>
      <c r="G262" s="18">
        <f>IF(D262="Tandem",10,IF(D262="TT",22,IF(D262="Quad",25,"")))</f>
        <v/>
      </c>
      <c r="H262" s="28">
        <f>IFERROR(IF(F262*G262=0,0,F262*G262),0)</f>
        <v/>
      </c>
      <c r="I262" s="29" t="n"/>
      <c r="J262" s="57" t="n"/>
      <c r="K262" s="25" t="n"/>
      <c r="L262" s="30" t="n"/>
      <c r="M262" s="58" t="n"/>
      <c r="N262" s="30" t="n"/>
      <c r="O262" s="24">
        <f>IFERROR(IF(OR(M262="",M262=0),0,H262*VALUE(SUBSTITUTE(M262&amp;"","$",""))),0)</f>
        <v/>
      </c>
    </row>
    <row r="263" outlineLevel="1" ht="16" customHeight="1">
      <c r="A263" s="13" t="n"/>
      <c r="B263" s="14" t="n"/>
      <c r="C263" s="15" t="n"/>
      <c r="D263" s="56" t="n"/>
      <c r="E263" s="56" t="n"/>
      <c r="F263" s="17" t="n"/>
      <c r="G263" s="18">
        <f>IF(D263="Tandem",10,IF(D263="TT",22,IF(D263="Quad",25,"")))</f>
        <v/>
      </c>
      <c r="H263" s="19">
        <f>IFERROR(IF(F263*G263=0,0,F263*G263),0)</f>
        <v/>
      </c>
      <c r="I263" s="20" t="n"/>
      <c r="J263" s="57" t="n"/>
      <c r="K263" s="14" t="n"/>
      <c r="L263" s="22" t="n"/>
      <c r="M263" s="58" t="n"/>
      <c r="N263" s="22" t="n"/>
      <c r="O263" s="24">
        <f>IFERROR(IF(OR(M263="",M263=0),0,H263*VALUE(SUBSTITUTE(M263&amp;"","$",""))),0)</f>
        <v/>
      </c>
    </row>
    <row r="264" outlineLevel="1" ht="16" customHeight="1">
      <c r="A264" s="13" t="n"/>
      <c r="B264" s="25" t="n"/>
      <c r="C264" s="26" t="n"/>
      <c r="D264" s="56" t="n"/>
      <c r="E264" s="56" t="n"/>
      <c r="F264" s="27" t="n"/>
      <c r="G264" s="18">
        <f>IF(D264="Tandem",10,IF(D264="TT",22,IF(D264="Quad",25,"")))</f>
        <v/>
      </c>
      <c r="H264" s="28">
        <f>IFERROR(IF(F264*G264=0,0,F264*G264),0)</f>
        <v/>
      </c>
      <c r="I264" s="29" t="n"/>
      <c r="J264" s="57" t="n"/>
      <c r="K264" s="25" t="n"/>
      <c r="L264" s="30" t="n"/>
      <c r="M264" s="58" t="n"/>
      <c r="N264" s="30" t="n"/>
      <c r="O264" s="24">
        <f>IFERROR(IF(OR(M264="",M264=0),0,H264*VALUE(SUBSTITUTE(M264&amp;"","$",""))),0)</f>
        <v/>
      </c>
    </row>
    <row r="265" outlineLevel="1" ht="20" customHeight="1">
      <c r="A265" s="59" t="inlineStr">
        <is>
          <t>Daily Notes:</t>
        </is>
      </c>
      <c r="B265" s="54" t="n"/>
      <c r="C265" s="54" t="n"/>
      <c r="D265" s="54" t="n"/>
      <c r="E265" s="54" t="n"/>
      <c r="F265" s="54" t="n"/>
      <c r="G265" s="54" t="n"/>
      <c r="H265" s="54" t="n"/>
      <c r="I265" s="54" t="n"/>
      <c r="J265" s="54" t="n"/>
      <c r="K265" s="54" t="n"/>
      <c r="L265" s="54" t="n"/>
      <c r="M265" s="54" t="n"/>
      <c r="N265" s="50" t="n"/>
      <c r="O265" s="60" t="n"/>
    </row>
    <row r="266" outlineLevel="1" ht="18" customHeight="1">
      <c r="A266" s="32" t="inlineStr">
        <is>
          <t>DAILY TOTAL</t>
        </is>
      </c>
      <c r="B266" s="54" t="n"/>
      <c r="C266" s="54" t="n"/>
      <c r="D266" s="54" t="n"/>
      <c r="E266" s="54" t="n"/>
      <c r="F266" s="54" t="n"/>
      <c r="G266" s="50" t="n"/>
      <c r="H266" s="34">
        <f>SUM(H235:H264)</f>
        <v/>
      </c>
      <c r="I266" s="35">
        <f>SUM(I235:I264)</f>
        <v/>
      </c>
      <c r="J266" s="61" t="n"/>
      <c r="K266" s="61" t="n"/>
      <c r="L266" s="61" t="n"/>
      <c r="M266" s="36">
        <f>SUM(O235:O264)</f>
        <v/>
      </c>
      <c r="N266" s="61" t="n"/>
      <c r="O266" s="62" t="n"/>
    </row>
    <row r="267" outlineLevel="1" ht="18" customHeight="1">
      <c r="A267" s="2" t="inlineStr">
        <is>
          <t>▶ RUNNING TOTAL</t>
        </is>
      </c>
      <c r="B267" s="54" t="n"/>
      <c r="C267" s="54" t="n"/>
      <c r="D267" s="54" t="n"/>
      <c r="E267" s="54" t="n"/>
      <c r="F267" s="54" t="n"/>
      <c r="G267" s="50" t="n"/>
      <c r="H267" s="37">
        <f>H50+H86+H122+H158+H194+H230+H266</f>
        <v/>
      </c>
      <c r="I267" s="63" t="n"/>
      <c r="J267" s="63" t="n"/>
      <c r="K267" s="63" t="n"/>
      <c r="L267" s="63" t="n"/>
      <c r="M267" s="38">
        <f>M50+M86+M122+M158+M194+M230+M266</f>
        <v/>
      </c>
      <c r="N267" s="63" t="n"/>
      <c r="O267" s="64" t="n"/>
    </row>
    <row r="268" outlineLevel="1" ht="8" customHeight="1"/>
    <row r="269" ht="22" customHeight="1">
      <c r="A269" s="55" t="inlineStr">
        <is>
          <t>DAY 8</t>
        </is>
      </c>
      <c r="B269" s="54" t="n"/>
      <c r="C269" s="54" t="n"/>
      <c r="D269" s="54" t="n"/>
      <c r="E269" s="54" t="n"/>
      <c r="F269" s="54" t="n"/>
      <c r="G269" s="54" t="n"/>
      <c r="H269" s="54" t="n"/>
      <c r="I269" s="54" t="n"/>
      <c r="J269" s="54" t="n"/>
      <c r="K269" s="54" t="n"/>
      <c r="L269" s="54" t="n"/>
      <c r="M269" s="54" t="n"/>
      <c r="N269" s="50" t="n"/>
    </row>
    <row r="270" outlineLevel="1" ht="28" customHeight="1">
      <c r="A270" s="12" t="inlineStr">
        <is>
          <t>Date</t>
        </is>
      </c>
      <c r="B270" s="12" t="inlineStr">
        <is>
          <t>Cartage Company</t>
        </is>
      </c>
      <c r="C270" s="12" t="inlineStr">
        <is>
          <t>Truck Rego</t>
        </is>
      </c>
      <c r="D270" s="12" t="inlineStr">
        <is>
          <t>Truck Type</t>
        </is>
      </c>
      <c r="E270" s="12" t="inlineStr">
        <is>
          <t>Exp / Imp</t>
        </is>
      </c>
      <c r="F270" s="12" t="inlineStr">
        <is>
          <t>Loads</t>
        </is>
      </c>
      <c r="G270" s="12" t="inlineStr">
        <is>
          <t>m³ / Load</t>
        </is>
      </c>
      <c r="H270" s="12" t="inlineStr">
        <is>
          <t>Total m³</t>
        </is>
      </c>
      <c r="I270" s="12" t="inlineStr">
        <is>
          <t>Hours</t>
        </is>
      </c>
      <c r="J270" s="12" t="inlineStr">
        <is>
          <t>Material</t>
        </is>
      </c>
      <c r="K270" s="12" t="inlineStr">
        <is>
          <t>Tip Site</t>
        </is>
      </c>
      <c r="L270" s="12" t="inlineStr">
        <is>
          <t>Docket #</t>
        </is>
      </c>
      <c r="M270" s="12" t="inlineStr">
        <is>
          <t>Rate Paid ($/m³)</t>
        </is>
      </c>
      <c r="N270" s="12" t="inlineStr">
        <is>
          <t>Invoice #</t>
        </is>
      </c>
    </row>
    <row r="271" outlineLevel="1" ht="16" customHeight="1">
      <c r="A271" s="13" t="n"/>
      <c r="B271" s="14" t="n"/>
      <c r="C271" s="15" t="n"/>
      <c r="D271" s="56" t="n"/>
      <c r="E271" s="56" t="n"/>
      <c r="F271" s="17" t="n"/>
      <c r="G271" s="18">
        <f>IF(D271="Tandem",10,IF(D271="TT",22,IF(D271="Quad",25,"")))</f>
        <v/>
      </c>
      <c r="H271" s="19">
        <f>IFERROR(IF(F271*G271=0,0,F271*G271),0)</f>
        <v/>
      </c>
      <c r="I271" s="20" t="n"/>
      <c r="J271" s="57" t="n"/>
      <c r="K271" s="14" t="n"/>
      <c r="L271" s="22" t="n"/>
      <c r="M271" s="58" t="n"/>
      <c r="N271" s="22" t="n"/>
      <c r="O271" s="24">
        <f>IFERROR(IF(OR(M271="",M271=0),0,H271*VALUE(SUBSTITUTE(M271&amp;"","$",""))),0)</f>
        <v/>
      </c>
    </row>
    <row r="272" outlineLevel="1" ht="16" customHeight="1">
      <c r="A272" s="13" t="n"/>
      <c r="B272" s="25" t="n"/>
      <c r="C272" s="26" t="n"/>
      <c r="D272" s="56" t="n"/>
      <c r="E272" s="56" t="n"/>
      <c r="F272" s="27" t="n"/>
      <c r="G272" s="18">
        <f>IF(D272="Tandem",10,IF(D272="TT",22,IF(D272="Quad",25,"")))</f>
        <v/>
      </c>
      <c r="H272" s="28">
        <f>IFERROR(IF(F272*G272=0,0,F272*G272),0)</f>
        <v/>
      </c>
      <c r="I272" s="29" t="n"/>
      <c r="J272" s="57" t="n"/>
      <c r="K272" s="25" t="n"/>
      <c r="L272" s="30" t="n"/>
      <c r="M272" s="58" t="n"/>
      <c r="N272" s="30" t="n"/>
      <c r="O272" s="24">
        <f>IFERROR(IF(OR(M272="",M272=0),0,H272*VALUE(SUBSTITUTE(M272&amp;"","$",""))),0)</f>
        <v/>
      </c>
    </row>
    <row r="273" outlineLevel="1" ht="16" customHeight="1">
      <c r="A273" s="13" t="n"/>
      <c r="B273" s="14" t="n"/>
      <c r="C273" s="15" t="n"/>
      <c r="D273" s="56" t="n"/>
      <c r="E273" s="56" t="n"/>
      <c r="F273" s="17" t="n"/>
      <c r="G273" s="18">
        <f>IF(D273="Tandem",10,IF(D273="TT",22,IF(D273="Quad",25,"")))</f>
        <v/>
      </c>
      <c r="H273" s="19">
        <f>IFERROR(IF(F273*G273=0,0,F273*G273),0)</f>
        <v/>
      </c>
      <c r="I273" s="20" t="n"/>
      <c r="J273" s="57" t="n"/>
      <c r="K273" s="14" t="n"/>
      <c r="L273" s="22" t="n"/>
      <c r="M273" s="58" t="n"/>
      <c r="N273" s="22" t="n"/>
      <c r="O273" s="24">
        <f>IFERROR(IF(OR(M273="",M273=0),0,H273*VALUE(SUBSTITUTE(M273&amp;"","$",""))),0)</f>
        <v/>
      </c>
    </row>
    <row r="274" outlineLevel="1" ht="16" customHeight="1">
      <c r="A274" s="13" t="n"/>
      <c r="B274" s="25" t="n"/>
      <c r="C274" s="26" t="n"/>
      <c r="D274" s="56" t="n"/>
      <c r="E274" s="56" t="n"/>
      <c r="F274" s="27" t="n"/>
      <c r="G274" s="18">
        <f>IF(D274="Tandem",10,IF(D274="TT",22,IF(D274="Quad",25,"")))</f>
        <v/>
      </c>
      <c r="H274" s="28">
        <f>IFERROR(IF(F274*G274=0,0,F274*G274),0)</f>
        <v/>
      </c>
      <c r="I274" s="29" t="n"/>
      <c r="J274" s="57" t="n"/>
      <c r="K274" s="25" t="n"/>
      <c r="L274" s="30" t="n"/>
      <c r="M274" s="58" t="n"/>
      <c r="N274" s="30" t="n"/>
      <c r="O274" s="24">
        <f>IFERROR(IF(OR(M274="",M274=0),0,H274*VALUE(SUBSTITUTE(M274&amp;"","$",""))),0)</f>
        <v/>
      </c>
    </row>
    <row r="275" outlineLevel="1" ht="16" customHeight="1">
      <c r="A275" s="13" t="n"/>
      <c r="B275" s="14" t="n"/>
      <c r="C275" s="15" t="n"/>
      <c r="D275" s="56" t="n"/>
      <c r="E275" s="56" t="n"/>
      <c r="F275" s="17" t="n"/>
      <c r="G275" s="18">
        <f>IF(D275="Tandem",10,IF(D275="TT",22,IF(D275="Quad",25,"")))</f>
        <v/>
      </c>
      <c r="H275" s="19">
        <f>IFERROR(IF(F275*G275=0,0,F275*G275),0)</f>
        <v/>
      </c>
      <c r="I275" s="20" t="n"/>
      <c r="J275" s="57" t="n"/>
      <c r="K275" s="14" t="n"/>
      <c r="L275" s="22" t="n"/>
      <c r="M275" s="58" t="n"/>
      <c r="N275" s="22" t="n"/>
      <c r="O275" s="24">
        <f>IFERROR(IF(OR(M275="",M275=0),0,H275*VALUE(SUBSTITUTE(M275&amp;"","$",""))),0)</f>
        <v/>
      </c>
    </row>
    <row r="276" outlineLevel="1" ht="16" customHeight="1">
      <c r="A276" s="13" t="n"/>
      <c r="B276" s="25" t="n"/>
      <c r="C276" s="26" t="n"/>
      <c r="D276" s="56" t="n"/>
      <c r="E276" s="56" t="n"/>
      <c r="F276" s="27" t="n"/>
      <c r="G276" s="18">
        <f>IF(D276="Tandem",10,IF(D276="TT",22,IF(D276="Quad",25,"")))</f>
        <v/>
      </c>
      <c r="H276" s="28">
        <f>IFERROR(IF(F276*G276=0,0,F276*G276),0)</f>
        <v/>
      </c>
      <c r="I276" s="29" t="n"/>
      <c r="J276" s="57" t="n"/>
      <c r="K276" s="25" t="n"/>
      <c r="L276" s="30" t="n"/>
      <c r="M276" s="58" t="n"/>
      <c r="N276" s="30" t="n"/>
      <c r="O276" s="24">
        <f>IFERROR(IF(OR(M276="",M276=0),0,H276*VALUE(SUBSTITUTE(M276&amp;"","$",""))),0)</f>
        <v/>
      </c>
    </row>
    <row r="277" outlineLevel="1" ht="16" customHeight="1">
      <c r="A277" s="13" t="n"/>
      <c r="B277" s="14" t="n"/>
      <c r="C277" s="15" t="n"/>
      <c r="D277" s="56" t="n"/>
      <c r="E277" s="56" t="n"/>
      <c r="F277" s="17" t="n"/>
      <c r="G277" s="18">
        <f>IF(D277="Tandem",10,IF(D277="TT",22,IF(D277="Quad",25,"")))</f>
        <v/>
      </c>
      <c r="H277" s="19">
        <f>IFERROR(IF(F277*G277=0,0,F277*G277),0)</f>
        <v/>
      </c>
      <c r="I277" s="20" t="n"/>
      <c r="J277" s="57" t="n"/>
      <c r="K277" s="14" t="n"/>
      <c r="L277" s="22" t="n"/>
      <c r="M277" s="58" t="n"/>
      <c r="N277" s="22" t="n"/>
      <c r="O277" s="24">
        <f>IFERROR(IF(OR(M277="",M277=0),0,H277*VALUE(SUBSTITUTE(M277&amp;"","$",""))),0)</f>
        <v/>
      </c>
    </row>
    <row r="278" outlineLevel="1" ht="16" customHeight="1">
      <c r="A278" s="13" t="n"/>
      <c r="B278" s="25" t="n"/>
      <c r="C278" s="26" t="n"/>
      <c r="D278" s="56" t="n"/>
      <c r="E278" s="56" t="n"/>
      <c r="F278" s="27" t="n"/>
      <c r="G278" s="18">
        <f>IF(D278="Tandem",10,IF(D278="TT",22,IF(D278="Quad",25,"")))</f>
        <v/>
      </c>
      <c r="H278" s="28">
        <f>IFERROR(IF(F278*G278=0,0,F278*G278),0)</f>
        <v/>
      </c>
      <c r="I278" s="29" t="n"/>
      <c r="J278" s="57" t="n"/>
      <c r="K278" s="25" t="n"/>
      <c r="L278" s="30" t="n"/>
      <c r="M278" s="58" t="n"/>
      <c r="N278" s="30" t="n"/>
      <c r="O278" s="24">
        <f>IFERROR(IF(OR(M278="",M278=0),0,H278*VALUE(SUBSTITUTE(M278&amp;"","$",""))),0)</f>
        <v/>
      </c>
    </row>
    <row r="279" outlineLevel="1" ht="16" customHeight="1">
      <c r="A279" s="13" t="n"/>
      <c r="B279" s="14" t="n"/>
      <c r="C279" s="15" t="n"/>
      <c r="D279" s="56" t="n"/>
      <c r="E279" s="56" t="n"/>
      <c r="F279" s="17" t="n"/>
      <c r="G279" s="18">
        <f>IF(D279="Tandem",10,IF(D279="TT",22,IF(D279="Quad",25,"")))</f>
        <v/>
      </c>
      <c r="H279" s="19">
        <f>IFERROR(IF(F279*G279=0,0,F279*G279),0)</f>
        <v/>
      </c>
      <c r="I279" s="20" t="n"/>
      <c r="J279" s="57" t="n"/>
      <c r="K279" s="14" t="n"/>
      <c r="L279" s="22" t="n"/>
      <c r="M279" s="58" t="n"/>
      <c r="N279" s="22" t="n"/>
      <c r="O279" s="24">
        <f>IFERROR(IF(OR(M279="",M279=0),0,H279*VALUE(SUBSTITUTE(M279&amp;"","$",""))),0)</f>
        <v/>
      </c>
    </row>
    <row r="280" outlineLevel="1" ht="16" customHeight="1">
      <c r="A280" s="13" t="n"/>
      <c r="B280" s="25" t="n"/>
      <c r="C280" s="26" t="n"/>
      <c r="D280" s="56" t="n"/>
      <c r="E280" s="56" t="n"/>
      <c r="F280" s="27" t="n"/>
      <c r="G280" s="18">
        <f>IF(D280="Tandem",10,IF(D280="TT",22,IF(D280="Quad",25,"")))</f>
        <v/>
      </c>
      <c r="H280" s="28">
        <f>IFERROR(IF(F280*G280=0,0,F280*G280),0)</f>
        <v/>
      </c>
      <c r="I280" s="29" t="n"/>
      <c r="J280" s="57" t="n"/>
      <c r="K280" s="25" t="n"/>
      <c r="L280" s="30" t="n"/>
      <c r="M280" s="58" t="n"/>
      <c r="N280" s="30" t="n"/>
      <c r="O280" s="24">
        <f>IFERROR(IF(OR(M280="",M280=0),0,H280*VALUE(SUBSTITUTE(M280&amp;"","$",""))),0)</f>
        <v/>
      </c>
    </row>
    <row r="281" outlineLevel="1" ht="16" customHeight="1">
      <c r="A281" s="13" t="n"/>
      <c r="B281" s="14" t="n"/>
      <c r="C281" s="15" t="n"/>
      <c r="D281" s="56" t="n"/>
      <c r="E281" s="56" t="n"/>
      <c r="F281" s="17" t="n"/>
      <c r="G281" s="18">
        <f>IF(D281="Tandem",10,IF(D281="TT",22,IF(D281="Quad",25,"")))</f>
        <v/>
      </c>
      <c r="H281" s="19">
        <f>IFERROR(IF(F281*G281=0,0,F281*G281),0)</f>
        <v/>
      </c>
      <c r="I281" s="20" t="n"/>
      <c r="J281" s="57" t="n"/>
      <c r="K281" s="14" t="n"/>
      <c r="L281" s="22" t="n"/>
      <c r="M281" s="58" t="n"/>
      <c r="N281" s="22" t="n"/>
      <c r="O281" s="24">
        <f>IFERROR(IF(OR(M281="",M281=0),0,H281*VALUE(SUBSTITUTE(M281&amp;"","$",""))),0)</f>
        <v/>
      </c>
    </row>
    <row r="282" outlineLevel="1" ht="16" customHeight="1">
      <c r="A282" s="13" t="n"/>
      <c r="B282" s="25" t="n"/>
      <c r="C282" s="26" t="n"/>
      <c r="D282" s="56" t="n"/>
      <c r="E282" s="56" t="n"/>
      <c r="F282" s="27" t="n"/>
      <c r="G282" s="18">
        <f>IF(D282="Tandem",10,IF(D282="TT",22,IF(D282="Quad",25,"")))</f>
        <v/>
      </c>
      <c r="H282" s="28">
        <f>IFERROR(IF(F282*G282=0,0,F282*G282),0)</f>
        <v/>
      </c>
      <c r="I282" s="29" t="n"/>
      <c r="J282" s="57" t="n"/>
      <c r="K282" s="25" t="n"/>
      <c r="L282" s="30" t="n"/>
      <c r="M282" s="58" t="n"/>
      <c r="N282" s="30" t="n"/>
      <c r="O282" s="24">
        <f>IFERROR(IF(OR(M282="",M282=0),0,H282*VALUE(SUBSTITUTE(M282&amp;"","$",""))),0)</f>
        <v/>
      </c>
    </row>
    <row r="283" outlineLevel="1" ht="16" customHeight="1">
      <c r="A283" s="13" t="n"/>
      <c r="B283" s="14" t="n"/>
      <c r="C283" s="15" t="n"/>
      <c r="D283" s="56" t="n"/>
      <c r="E283" s="56" t="n"/>
      <c r="F283" s="17" t="n"/>
      <c r="G283" s="18">
        <f>IF(D283="Tandem",10,IF(D283="TT",22,IF(D283="Quad",25,"")))</f>
        <v/>
      </c>
      <c r="H283" s="19">
        <f>IFERROR(IF(F283*G283=0,0,F283*G283),0)</f>
        <v/>
      </c>
      <c r="I283" s="20" t="n"/>
      <c r="J283" s="57" t="n"/>
      <c r="K283" s="14" t="n"/>
      <c r="L283" s="22" t="n"/>
      <c r="M283" s="58" t="n"/>
      <c r="N283" s="22" t="n"/>
      <c r="O283" s="24">
        <f>IFERROR(IF(OR(M283="",M283=0),0,H283*VALUE(SUBSTITUTE(M283&amp;"","$",""))),0)</f>
        <v/>
      </c>
    </row>
    <row r="284" outlineLevel="1" ht="16" customHeight="1">
      <c r="A284" s="13" t="n"/>
      <c r="B284" s="25" t="n"/>
      <c r="C284" s="26" t="n"/>
      <c r="D284" s="56" t="n"/>
      <c r="E284" s="56" t="n"/>
      <c r="F284" s="27" t="n"/>
      <c r="G284" s="18">
        <f>IF(D284="Tandem",10,IF(D284="TT",22,IF(D284="Quad",25,"")))</f>
        <v/>
      </c>
      <c r="H284" s="28">
        <f>IFERROR(IF(F284*G284=0,0,F284*G284),0)</f>
        <v/>
      </c>
      <c r="I284" s="29" t="n"/>
      <c r="J284" s="57" t="n"/>
      <c r="K284" s="25" t="n"/>
      <c r="L284" s="30" t="n"/>
      <c r="M284" s="58" t="n"/>
      <c r="N284" s="30" t="n"/>
      <c r="O284" s="24">
        <f>IFERROR(IF(OR(M284="",M284=0),0,H284*VALUE(SUBSTITUTE(M284&amp;"","$",""))),0)</f>
        <v/>
      </c>
    </row>
    <row r="285" outlineLevel="1" ht="16" customHeight="1">
      <c r="A285" s="13" t="n"/>
      <c r="B285" s="14" t="n"/>
      <c r="C285" s="15" t="n"/>
      <c r="D285" s="56" t="n"/>
      <c r="E285" s="56" t="n"/>
      <c r="F285" s="17" t="n"/>
      <c r="G285" s="18">
        <f>IF(D285="Tandem",10,IF(D285="TT",22,IF(D285="Quad",25,"")))</f>
        <v/>
      </c>
      <c r="H285" s="19">
        <f>IFERROR(IF(F285*G285=0,0,F285*G285),0)</f>
        <v/>
      </c>
      <c r="I285" s="20" t="n"/>
      <c r="J285" s="57" t="n"/>
      <c r="K285" s="14" t="n"/>
      <c r="L285" s="22" t="n"/>
      <c r="M285" s="58" t="n"/>
      <c r="N285" s="22" t="n"/>
      <c r="O285" s="24">
        <f>IFERROR(IF(OR(M285="",M285=0),0,H285*VALUE(SUBSTITUTE(M285&amp;"","$",""))),0)</f>
        <v/>
      </c>
    </row>
    <row r="286" outlineLevel="1" ht="16" customHeight="1">
      <c r="A286" s="13" t="n"/>
      <c r="B286" s="25" t="n"/>
      <c r="C286" s="26" t="n"/>
      <c r="D286" s="56" t="n"/>
      <c r="E286" s="56" t="n"/>
      <c r="F286" s="27" t="n"/>
      <c r="G286" s="18">
        <f>IF(D286="Tandem",10,IF(D286="TT",22,IF(D286="Quad",25,"")))</f>
        <v/>
      </c>
      <c r="H286" s="28">
        <f>IFERROR(IF(F286*G286=0,0,F286*G286),0)</f>
        <v/>
      </c>
      <c r="I286" s="29" t="n"/>
      <c r="J286" s="57" t="n"/>
      <c r="K286" s="25" t="n"/>
      <c r="L286" s="30" t="n"/>
      <c r="M286" s="58" t="n"/>
      <c r="N286" s="30" t="n"/>
      <c r="O286" s="24">
        <f>IFERROR(IF(OR(M286="",M286=0),0,H286*VALUE(SUBSTITUTE(M286&amp;"","$",""))),0)</f>
        <v/>
      </c>
    </row>
    <row r="287" outlineLevel="1" ht="16" customHeight="1">
      <c r="A287" s="13" t="n"/>
      <c r="B287" s="14" t="n"/>
      <c r="C287" s="15" t="n"/>
      <c r="D287" s="56" t="n"/>
      <c r="E287" s="56" t="n"/>
      <c r="F287" s="17" t="n"/>
      <c r="G287" s="18">
        <f>IF(D287="Tandem",10,IF(D287="TT",22,IF(D287="Quad",25,"")))</f>
        <v/>
      </c>
      <c r="H287" s="19">
        <f>IFERROR(IF(F287*G287=0,0,F287*G287),0)</f>
        <v/>
      </c>
      <c r="I287" s="20" t="n"/>
      <c r="J287" s="57" t="n"/>
      <c r="K287" s="14" t="n"/>
      <c r="L287" s="22" t="n"/>
      <c r="M287" s="58" t="n"/>
      <c r="N287" s="22" t="n"/>
      <c r="O287" s="24">
        <f>IFERROR(IF(OR(M287="",M287=0),0,H287*VALUE(SUBSTITUTE(M287&amp;"","$",""))),0)</f>
        <v/>
      </c>
    </row>
    <row r="288" outlineLevel="1" ht="16" customHeight="1">
      <c r="A288" s="13" t="n"/>
      <c r="B288" s="25" t="n"/>
      <c r="C288" s="26" t="n"/>
      <c r="D288" s="56" t="n"/>
      <c r="E288" s="56" t="n"/>
      <c r="F288" s="27" t="n"/>
      <c r="G288" s="18">
        <f>IF(D288="Tandem",10,IF(D288="TT",22,IF(D288="Quad",25,"")))</f>
        <v/>
      </c>
      <c r="H288" s="28">
        <f>IFERROR(IF(F288*G288=0,0,F288*G288),0)</f>
        <v/>
      </c>
      <c r="I288" s="29" t="n"/>
      <c r="J288" s="57" t="n"/>
      <c r="K288" s="25" t="n"/>
      <c r="L288" s="30" t="n"/>
      <c r="M288" s="58" t="n"/>
      <c r="N288" s="30" t="n"/>
      <c r="O288" s="24">
        <f>IFERROR(IF(OR(M288="",M288=0),0,H288*VALUE(SUBSTITUTE(M288&amp;"","$",""))),0)</f>
        <v/>
      </c>
    </row>
    <row r="289" outlineLevel="1" ht="16" customHeight="1">
      <c r="A289" s="13" t="n"/>
      <c r="B289" s="14" t="n"/>
      <c r="C289" s="15" t="n"/>
      <c r="D289" s="56" t="n"/>
      <c r="E289" s="56" t="n"/>
      <c r="F289" s="17" t="n"/>
      <c r="G289" s="18">
        <f>IF(D289="Tandem",10,IF(D289="TT",22,IF(D289="Quad",25,"")))</f>
        <v/>
      </c>
      <c r="H289" s="19">
        <f>IFERROR(IF(F289*G289=0,0,F289*G289),0)</f>
        <v/>
      </c>
      <c r="I289" s="20" t="n"/>
      <c r="J289" s="57" t="n"/>
      <c r="K289" s="14" t="n"/>
      <c r="L289" s="22" t="n"/>
      <c r="M289" s="58" t="n"/>
      <c r="N289" s="22" t="n"/>
      <c r="O289" s="24">
        <f>IFERROR(IF(OR(M289="",M289=0),0,H289*VALUE(SUBSTITUTE(M289&amp;"","$",""))),0)</f>
        <v/>
      </c>
    </row>
    <row r="290" outlineLevel="1" ht="16" customHeight="1">
      <c r="A290" s="13" t="n"/>
      <c r="B290" s="25" t="n"/>
      <c r="C290" s="26" t="n"/>
      <c r="D290" s="56" t="n"/>
      <c r="E290" s="56" t="n"/>
      <c r="F290" s="27" t="n"/>
      <c r="G290" s="18">
        <f>IF(D290="Tandem",10,IF(D290="TT",22,IF(D290="Quad",25,"")))</f>
        <v/>
      </c>
      <c r="H290" s="28">
        <f>IFERROR(IF(F290*G290=0,0,F290*G290),0)</f>
        <v/>
      </c>
      <c r="I290" s="29" t="n"/>
      <c r="J290" s="57" t="n"/>
      <c r="K290" s="25" t="n"/>
      <c r="L290" s="30" t="n"/>
      <c r="M290" s="58" t="n"/>
      <c r="N290" s="30" t="n"/>
      <c r="O290" s="24">
        <f>IFERROR(IF(OR(M290="",M290=0),0,H290*VALUE(SUBSTITUTE(M290&amp;"","$",""))),0)</f>
        <v/>
      </c>
    </row>
    <row r="291" outlineLevel="1" ht="16" customHeight="1">
      <c r="A291" s="13" t="n"/>
      <c r="B291" s="14" t="n"/>
      <c r="C291" s="15" t="n"/>
      <c r="D291" s="56" t="n"/>
      <c r="E291" s="56" t="n"/>
      <c r="F291" s="17" t="n"/>
      <c r="G291" s="18">
        <f>IF(D291="Tandem",10,IF(D291="TT",22,IF(D291="Quad",25,"")))</f>
        <v/>
      </c>
      <c r="H291" s="19">
        <f>IFERROR(IF(F291*G291=0,0,F291*G291),0)</f>
        <v/>
      </c>
      <c r="I291" s="20" t="n"/>
      <c r="J291" s="57" t="n"/>
      <c r="K291" s="14" t="n"/>
      <c r="L291" s="22" t="n"/>
      <c r="M291" s="58" t="n"/>
      <c r="N291" s="22" t="n"/>
      <c r="O291" s="24">
        <f>IFERROR(IF(OR(M291="",M291=0),0,H291*VALUE(SUBSTITUTE(M291&amp;"","$",""))),0)</f>
        <v/>
      </c>
    </row>
    <row r="292" outlineLevel="1" ht="16" customHeight="1">
      <c r="A292" s="13" t="n"/>
      <c r="B292" s="25" t="n"/>
      <c r="C292" s="26" t="n"/>
      <c r="D292" s="56" t="n"/>
      <c r="E292" s="56" t="n"/>
      <c r="F292" s="27" t="n"/>
      <c r="G292" s="18">
        <f>IF(D292="Tandem",10,IF(D292="TT",22,IF(D292="Quad",25,"")))</f>
        <v/>
      </c>
      <c r="H292" s="28">
        <f>IFERROR(IF(F292*G292=0,0,F292*G292),0)</f>
        <v/>
      </c>
      <c r="I292" s="29" t="n"/>
      <c r="J292" s="57" t="n"/>
      <c r="K292" s="25" t="n"/>
      <c r="L292" s="30" t="n"/>
      <c r="M292" s="58" t="n"/>
      <c r="N292" s="30" t="n"/>
      <c r="O292" s="24">
        <f>IFERROR(IF(OR(M292="",M292=0),0,H292*VALUE(SUBSTITUTE(M292&amp;"","$",""))),0)</f>
        <v/>
      </c>
    </row>
    <row r="293" outlineLevel="1" ht="16" customHeight="1">
      <c r="A293" s="13" t="n"/>
      <c r="B293" s="14" t="n"/>
      <c r="C293" s="15" t="n"/>
      <c r="D293" s="56" t="n"/>
      <c r="E293" s="56" t="n"/>
      <c r="F293" s="17" t="n"/>
      <c r="G293" s="18">
        <f>IF(D293="Tandem",10,IF(D293="TT",22,IF(D293="Quad",25,"")))</f>
        <v/>
      </c>
      <c r="H293" s="19">
        <f>IFERROR(IF(F293*G293=0,0,F293*G293),0)</f>
        <v/>
      </c>
      <c r="I293" s="20" t="n"/>
      <c r="J293" s="57" t="n"/>
      <c r="K293" s="14" t="n"/>
      <c r="L293" s="22" t="n"/>
      <c r="M293" s="58" t="n"/>
      <c r="N293" s="22" t="n"/>
      <c r="O293" s="24">
        <f>IFERROR(IF(OR(M293="",M293=0),0,H293*VALUE(SUBSTITUTE(M293&amp;"","$",""))),0)</f>
        <v/>
      </c>
    </row>
    <row r="294" outlineLevel="1" ht="16" customHeight="1">
      <c r="A294" s="13" t="n"/>
      <c r="B294" s="25" t="n"/>
      <c r="C294" s="26" t="n"/>
      <c r="D294" s="56" t="n"/>
      <c r="E294" s="56" t="n"/>
      <c r="F294" s="27" t="n"/>
      <c r="G294" s="18">
        <f>IF(D294="Tandem",10,IF(D294="TT",22,IF(D294="Quad",25,"")))</f>
        <v/>
      </c>
      <c r="H294" s="28">
        <f>IFERROR(IF(F294*G294=0,0,F294*G294),0)</f>
        <v/>
      </c>
      <c r="I294" s="29" t="n"/>
      <c r="J294" s="57" t="n"/>
      <c r="K294" s="25" t="n"/>
      <c r="L294" s="30" t="n"/>
      <c r="M294" s="58" t="n"/>
      <c r="N294" s="30" t="n"/>
      <c r="O294" s="24">
        <f>IFERROR(IF(OR(M294="",M294=0),0,H294*VALUE(SUBSTITUTE(M294&amp;"","$",""))),0)</f>
        <v/>
      </c>
    </row>
    <row r="295" outlineLevel="1" ht="16" customHeight="1">
      <c r="A295" s="13" t="n"/>
      <c r="B295" s="14" t="n"/>
      <c r="C295" s="15" t="n"/>
      <c r="D295" s="56" t="n"/>
      <c r="E295" s="56" t="n"/>
      <c r="F295" s="17" t="n"/>
      <c r="G295" s="18">
        <f>IF(D295="Tandem",10,IF(D295="TT",22,IF(D295="Quad",25,"")))</f>
        <v/>
      </c>
      <c r="H295" s="19">
        <f>IFERROR(IF(F295*G295=0,0,F295*G295),0)</f>
        <v/>
      </c>
      <c r="I295" s="20" t="n"/>
      <c r="J295" s="57" t="n"/>
      <c r="K295" s="14" t="n"/>
      <c r="L295" s="22" t="n"/>
      <c r="M295" s="58" t="n"/>
      <c r="N295" s="22" t="n"/>
      <c r="O295" s="24">
        <f>IFERROR(IF(OR(M295="",M295=0),0,H295*VALUE(SUBSTITUTE(M295&amp;"","$",""))),0)</f>
        <v/>
      </c>
    </row>
    <row r="296" outlineLevel="1" ht="16" customHeight="1">
      <c r="A296" s="13" t="n"/>
      <c r="B296" s="25" t="n"/>
      <c r="C296" s="26" t="n"/>
      <c r="D296" s="56" t="n"/>
      <c r="E296" s="56" t="n"/>
      <c r="F296" s="27" t="n"/>
      <c r="G296" s="18">
        <f>IF(D296="Tandem",10,IF(D296="TT",22,IF(D296="Quad",25,"")))</f>
        <v/>
      </c>
      <c r="H296" s="28">
        <f>IFERROR(IF(F296*G296=0,0,F296*G296),0)</f>
        <v/>
      </c>
      <c r="I296" s="29" t="n"/>
      <c r="J296" s="57" t="n"/>
      <c r="K296" s="25" t="n"/>
      <c r="L296" s="30" t="n"/>
      <c r="M296" s="58" t="n"/>
      <c r="N296" s="30" t="n"/>
      <c r="O296" s="24">
        <f>IFERROR(IF(OR(M296="",M296=0),0,H296*VALUE(SUBSTITUTE(M296&amp;"","$",""))),0)</f>
        <v/>
      </c>
    </row>
    <row r="297" outlineLevel="1" ht="16" customHeight="1">
      <c r="A297" s="13" t="n"/>
      <c r="B297" s="14" t="n"/>
      <c r="C297" s="15" t="n"/>
      <c r="D297" s="56" t="n"/>
      <c r="E297" s="56" t="n"/>
      <c r="F297" s="17" t="n"/>
      <c r="G297" s="18">
        <f>IF(D297="Tandem",10,IF(D297="TT",22,IF(D297="Quad",25,"")))</f>
        <v/>
      </c>
      <c r="H297" s="19">
        <f>IFERROR(IF(F297*G297=0,0,F297*G297),0)</f>
        <v/>
      </c>
      <c r="I297" s="20" t="n"/>
      <c r="J297" s="57" t="n"/>
      <c r="K297" s="14" t="n"/>
      <c r="L297" s="22" t="n"/>
      <c r="M297" s="58" t="n"/>
      <c r="N297" s="22" t="n"/>
      <c r="O297" s="24">
        <f>IFERROR(IF(OR(M297="",M297=0),0,H297*VALUE(SUBSTITUTE(M297&amp;"","$",""))),0)</f>
        <v/>
      </c>
    </row>
    <row r="298" outlineLevel="1" ht="16" customHeight="1">
      <c r="A298" s="13" t="n"/>
      <c r="B298" s="25" t="n"/>
      <c r="C298" s="26" t="n"/>
      <c r="D298" s="56" t="n"/>
      <c r="E298" s="56" t="n"/>
      <c r="F298" s="27" t="n"/>
      <c r="G298" s="18">
        <f>IF(D298="Tandem",10,IF(D298="TT",22,IF(D298="Quad",25,"")))</f>
        <v/>
      </c>
      <c r="H298" s="28">
        <f>IFERROR(IF(F298*G298=0,0,F298*G298),0)</f>
        <v/>
      </c>
      <c r="I298" s="29" t="n"/>
      <c r="J298" s="57" t="n"/>
      <c r="K298" s="25" t="n"/>
      <c r="L298" s="30" t="n"/>
      <c r="M298" s="58" t="n"/>
      <c r="N298" s="30" t="n"/>
      <c r="O298" s="24">
        <f>IFERROR(IF(OR(M298="",M298=0),0,H298*VALUE(SUBSTITUTE(M298&amp;"","$",""))),0)</f>
        <v/>
      </c>
    </row>
    <row r="299" outlineLevel="1" ht="16" customHeight="1">
      <c r="A299" s="13" t="n"/>
      <c r="B299" s="14" t="n"/>
      <c r="C299" s="15" t="n"/>
      <c r="D299" s="56" t="n"/>
      <c r="E299" s="56" t="n"/>
      <c r="F299" s="17" t="n"/>
      <c r="G299" s="18">
        <f>IF(D299="Tandem",10,IF(D299="TT",22,IF(D299="Quad",25,"")))</f>
        <v/>
      </c>
      <c r="H299" s="19">
        <f>IFERROR(IF(F299*G299=0,0,F299*G299),0)</f>
        <v/>
      </c>
      <c r="I299" s="20" t="n"/>
      <c r="J299" s="57" t="n"/>
      <c r="K299" s="14" t="n"/>
      <c r="L299" s="22" t="n"/>
      <c r="M299" s="58" t="n"/>
      <c r="N299" s="22" t="n"/>
      <c r="O299" s="24">
        <f>IFERROR(IF(OR(M299="",M299=0),0,H299*VALUE(SUBSTITUTE(M299&amp;"","$",""))),0)</f>
        <v/>
      </c>
    </row>
    <row r="300" outlineLevel="1" ht="16" customHeight="1">
      <c r="A300" s="13" t="n"/>
      <c r="B300" s="25" t="n"/>
      <c r="C300" s="26" t="n"/>
      <c r="D300" s="56" t="n"/>
      <c r="E300" s="56" t="n"/>
      <c r="F300" s="27" t="n"/>
      <c r="G300" s="18">
        <f>IF(D300="Tandem",10,IF(D300="TT",22,IF(D300="Quad",25,"")))</f>
        <v/>
      </c>
      <c r="H300" s="28">
        <f>IFERROR(IF(F300*G300=0,0,F300*G300),0)</f>
        <v/>
      </c>
      <c r="I300" s="29" t="n"/>
      <c r="J300" s="57" t="n"/>
      <c r="K300" s="25" t="n"/>
      <c r="L300" s="30" t="n"/>
      <c r="M300" s="58" t="n"/>
      <c r="N300" s="30" t="n"/>
      <c r="O300" s="24">
        <f>IFERROR(IF(OR(M300="",M300=0),0,H300*VALUE(SUBSTITUTE(M300&amp;"","$",""))),0)</f>
        <v/>
      </c>
    </row>
    <row r="301" outlineLevel="1" ht="20" customHeight="1">
      <c r="A301" s="59" t="inlineStr">
        <is>
          <t>Daily Notes:</t>
        </is>
      </c>
      <c r="B301" s="54" t="n"/>
      <c r="C301" s="54" t="n"/>
      <c r="D301" s="54" t="n"/>
      <c r="E301" s="54" t="n"/>
      <c r="F301" s="54" t="n"/>
      <c r="G301" s="54" t="n"/>
      <c r="H301" s="54" t="n"/>
      <c r="I301" s="54" t="n"/>
      <c r="J301" s="54" t="n"/>
      <c r="K301" s="54" t="n"/>
      <c r="L301" s="54" t="n"/>
      <c r="M301" s="54" t="n"/>
      <c r="N301" s="50" t="n"/>
      <c r="O301" s="60" t="n"/>
    </row>
    <row r="302" outlineLevel="1" ht="18" customHeight="1">
      <c r="A302" s="32" t="inlineStr">
        <is>
          <t>DAILY TOTAL</t>
        </is>
      </c>
      <c r="B302" s="54" t="n"/>
      <c r="C302" s="54" t="n"/>
      <c r="D302" s="54" t="n"/>
      <c r="E302" s="54" t="n"/>
      <c r="F302" s="54" t="n"/>
      <c r="G302" s="50" t="n"/>
      <c r="H302" s="34">
        <f>SUM(H271:H300)</f>
        <v/>
      </c>
      <c r="I302" s="35">
        <f>SUM(I271:I300)</f>
        <v/>
      </c>
      <c r="J302" s="61" t="n"/>
      <c r="K302" s="61" t="n"/>
      <c r="L302" s="61" t="n"/>
      <c r="M302" s="36">
        <f>SUM(O271:O300)</f>
        <v/>
      </c>
      <c r="N302" s="61" t="n"/>
      <c r="O302" s="62" t="n"/>
    </row>
    <row r="303" outlineLevel="1" ht="18" customHeight="1">
      <c r="A303" s="2" t="inlineStr">
        <is>
          <t>▶ RUNNING TOTAL</t>
        </is>
      </c>
      <c r="B303" s="54" t="n"/>
      <c r="C303" s="54" t="n"/>
      <c r="D303" s="54" t="n"/>
      <c r="E303" s="54" t="n"/>
      <c r="F303" s="54" t="n"/>
      <c r="G303" s="50" t="n"/>
      <c r="H303" s="37">
        <f>H50+H86+H122+H158+H194+H230+H266+H302</f>
        <v/>
      </c>
      <c r="I303" s="63" t="n"/>
      <c r="J303" s="63" t="n"/>
      <c r="K303" s="63" t="n"/>
      <c r="L303" s="63" t="n"/>
      <c r="M303" s="38">
        <f>M50+M86+M122+M158+M194+M230+M266+M302</f>
        <v/>
      </c>
      <c r="N303" s="63" t="n"/>
      <c r="O303" s="64" t="n"/>
    </row>
    <row r="304" outlineLevel="1" ht="8" customHeight="1"/>
    <row r="305" ht="22" customHeight="1">
      <c r="A305" s="55" t="inlineStr">
        <is>
          <t>DAY 9</t>
        </is>
      </c>
      <c r="B305" s="54" t="n"/>
      <c r="C305" s="54" t="n"/>
      <c r="D305" s="54" t="n"/>
      <c r="E305" s="54" t="n"/>
      <c r="F305" s="54" t="n"/>
      <c r="G305" s="54" t="n"/>
      <c r="H305" s="54" t="n"/>
      <c r="I305" s="54" t="n"/>
      <c r="J305" s="54" t="n"/>
      <c r="K305" s="54" t="n"/>
      <c r="L305" s="54" t="n"/>
      <c r="M305" s="54" t="n"/>
      <c r="N305" s="50" t="n"/>
    </row>
    <row r="306" outlineLevel="1" ht="28" customHeight="1">
      <c r="A306" s="12" t="inlineStr">
        <is>
          <t>Date</t>
        </is>
      </c>
      <c r="B306" s="12" t="inlineStr">
        <is>
          <t>Cartage Company</t>
        </is>
      </c>
      <c r="C306" s="12" t="inlineStr">
        <is>
          <t>Truck Rego</t>
        </is>
      </c>
      <c r="D306" s="12" t="inlineStr">
        <is>
          <t>Truck Type</t>
        </is>
      </c>
      <c r="E306" s="12" t="inlineStr">
        <is>
          <t>Exp / Imp</t>
        </is>
      </c>
      <c r="F306" s="12" t="inlineStr">
        <is>
          <t>Loads</t>
        </is>
      </c>
      <c r="G306" s="12" t="inlineStr">
        <is>
          <t>m³ / Load</t>
        </is>
      </c>
      <c r="H306" s="12" t="inlineStr">
        <is>
          <t>Total m³</t>
        </is>
      </c>
      <c r="I306" s="12" t="inlineStr">
        <is>
          <t>Hours</t>
        </is>
      </c>
      <c r="J306" s="12" t="inlineStr">
        <is>
          <t>Material</t>
        </is>
      </c>
      <c r="K306" s="12" t="inlineStr">
        <is>
          <t>Tip Site</t>
        </is>
      </c>
      <c r="L306" s="12" t="inlineStr">
        <is>
          <t>Docket #</t>
        </is>
      </c>
      <c r="M306" s="12" t="inlineStr">
        <is>
          <t>Rate Paid ($/m³)</t>
        </is>
      </c>
      <c r="N306" s="12" t="inlineStr">
        <is>
          <t>Invoice #</t>
        </is>
      </c>
    </row>
    <row r="307" outlineLevel="1" ht="16" customHeight="1">
      <c r="A307" s="13" t="n"/>
      <c r="B307" s="14" t="n"/>
      <c r="C307" s="15" t="n"/>
      <c r="D307" s="56" t="n"/>
      <c r="E307" s="56" t="n"/>
      <c r="F307" s="17" t="n"/>
      <c r="G307" s="18">
        <f>IF(D307="Tandem",10,IF(D307="TT",22,IF(D307="Quad",25,"")))</f>
        <v/>
      </c>
      <c r="H307" s="19">
        <f>IFERROR(IF(F307*G307=0,0,F307*G307),0)</f>
        <v/>
      </c>
      <c r="I307" s="20" t="n"/>
      <c r="J307" s="57" t="n"/>
      <c r="K307" s="14" t="n"/>
      <c r="L307" s="22" t="n"/>
      <c r="M307" s="58" t="n"/>
      <c r="N307" s="22" t="n"/>
      <c r="O307" s="24">
        <f>IFERROR(IF(OR(M307="",M307=0),0,H307*VALUE(SUBSTITUTE(M307&amp;"","$",""))),0)</f>
        <v/>
      </c>
    </row>
    <row r="308" outlineLevel="1" ht="16" customHeight="1">
      <c r="A308" s="13" t="n"/>
      <c r="B308" s="25" t="n"/>
      <c r="C308" s="26" t="n"/>
      <c r="D308" s="56" t="n"/>
      <c r="E308" s="56" t="n"/>
      <c r="F308" s="27" t="n"/>
      <c r="G308" s="18">
        <f>IF(D308="Tandem",10,IF(D308="TT",22,IF(D308="Quad",25,"")))</f>
        <v/>
      </c>
      <c r="H308" s="28">
        <f>IFERROR(IF(F308*G308=0,0,F308*G308),0)</f>
        <v/>
      </c>
      <c r="I308" s="29" t="n"/>
      <c r="J308" s="57" t="n"/>
      <c r="K308" s="25" t="n"/>
      <c r="L308" s="30" t="n"/>
      <c r="M308" s="58" t="n"/>
      <c r="N308" s="30" t="n"/>
      <c r="O308" s="24">
        <f>IFERROR(IF(OR(M308="",M308=0),0,H308*VALUE(SUBSTITUTE(M308&amp;"","$",""))),0)</f>
        <v/>
      </c>
    </row>
    <row r="309" outlineLevel="1" ht="16" customHeight="1">
      <c r="A309" s="13" t="n"/>
      <c r="B309" s="14" t="n"/>
      <c r="C309" s="15" t="n"/>
      <c r="D309" s="56" t="n"/>
      <c r="E309" s="56" t="n"/>
      <c r="F309" s="17" t="n"/>
      <c r="G309" s="18">
        <f>IF(D309="Tandem",10,IF(D309="TT",22,IF(D309="Quad",25,"")))</f>
        <v/>
      </c>
      <c r="H309" s="19">
        <f>IFERROR(IF(F309*G309=0,0,F309*G309),0)</f>
        <v/>
      </c>
      <c r="I309" s="20" t="n"/>
      <c r="J309" s="57" t="n"/>
      <c r="K309" s="14" t="n"/>
      <c r="L309" s="22" t="n"/>
      <c r="M309" s="58" t="n"/>
      <c r="N309" s="22" t="n"/>
      <c r="O309" s="24">
        <f>IFERROR(IF(OR(M309="",M309=0),0,H309*VALUE(SUBSTITUTE(M309&amp;"","$",""))),0)</f>
        <v/>
      </c>
    </row>
    <row r="310" outlineLevel="1" ht="16" customHeight="1">
      <c r="A310" s="13" t="n"/>
      <c r="B310" s="25" t="n"/>
      <c r="C310" s="26" t="n"/>
      <c r="D310" s="56" t="n"/>
      <c r="E310" s="56" t="n"/>
      <c r="F310" s="27" t="n"/>
      <c r="G310" s="18">
        <f>IF(D310="Tandem",10,IF(D310="TT",22,IF(D310="Quad",25,"")))</f>
        <v/>
      </c>
      <c r="H310" s="28">
        <f>IFERROR(IF(F310*G310=0,0,F310*G310),0)</f>
        <v/>
      </c>
      <c r="I310" s="29" t="n"/>
      <c r="J310" s="57" t="n"/>
      <c r="K310" s="25" t="n"/>
      <c r="L310" s="30" t="n"/>
      <c r="M310" s="58" t="n"/>
      <c r="N310" s="30" t="n"/>
      <c r="O310" s="24">
        <f>IFERROR(IF(OR(M310="",M310=0),0,H310*VALUE(SUBSTITUTE(M310&amp;"","$",""))),0)</f>
        <v/>
      </c>
    </row>
    <row r="311" outlineLevel="1" ht="16" customHeight="1">
      <c r="A311" s="13" t="n"/>
      <c r="B311" s="14" t="n"/>
      <c r="C311" s="15" t="n"/>
      <c r="D311" s="56" t="n"/>
      <c r="E311" s="56" t="n"/>
      <c r="F311" s="17" t="n"/>
      <c r="G311" s="18">
        <f>IF(D311="Tandem",10,IF(D311="TT",22,IF(D311="Quad",25,"")))</f>
        <v/>
      </c>
      <c r="H311" s="19">
        <f>IFERROR(IF(F311*G311=0,0,F311*G311),0)</f>
        <v/>
      </c>
      <c r="I311" s="20" t="n"/>
      <c r="J311" s="57" t="n"/>
      <c r="K311" s="14" t="n"/>
      <c r="L311" s="22" t="n"/>
      <c r="M311" s="58" t="n"/>
      <c r="N311" s="22" t="n"/>
      <c r="O311" s="24">
        <f>IFERROR(IF(OR(M311="",M311=0),0,H311*VALUE(SUBSTITUTE(M311&amp;"","$",""))),0)</f>
        <v/>
      </c>
    </row>
    <row r="312" outlineLevel="1" ht="16" customHeight="1">
      <c r="A312" s="13" t="n"/>
      <c r="B312" s="25" t="n"/>
      <c r="C312" s="26" t="n"/>
      <c r="D312" s="56" t="n"/>
      <c r="E312" s="56" t="n"/>
      <c r="F312" s="27" t="n"/>
      <c r="G312" s="18">
        <f>IF(D312="Tandem",10,IF(D312="TT",22,IF(D312="Quad",25,"")))</f>
        <v/>
      </c>
      <c r="H312" s="28">
        <f>IFERROR(IF(F312*G312=0,0,F312*G312),0)</f>
        <v/>
      </c>
      <c r="I312" s="29" t="n"/>
      <c r="J312" s="57" t="n"/>
      <c r="K312" s="25" t="n"/>
      <c r="L312" s="30" t="n"/>
      <c r="M312" s="58" t="n"/>
      <c r="N312" s="30" t="n"/>
      <c r="O312" s="24">
        <f>IFERROR(IF(OR(M312="",M312=0),0,H312*VALUE(SUBSTITUTE(M312&amp;"","$",""))),0)</f>
        <v/>
      </c>
    </row>
    <row r="313" outlineLevel="1" ht="16" customHeight="1">
      <c r="A313" s="13" t="n"/>
      <c r="B313" s="14" t="n"/>
      <c r="C313" s="15" t="n"/>
      <c r="D313" s="56" t="n"/>
      <c r="E313" s="56" t="n"/>
      <c r="F313" s="17" t="n"/>
      <c r="G313" s="18">
        <f>IF(D313="Tandem",10,IF(D313="TT",22,IF(D313="Quad",25,"")))</f>
        <v/>
      </c>
      <c r="H313" s="19">
        <f>IFERROR(IF(F313*G313=0,0,F313*G313),0)</f>
        <v/>
      </c>
      <c r="I313" s="20" t="n"/>
      <c r="J313" s="57" t="n"/>
      <c r="K313" s="14" t="n"/>
      <c r="L313" s="22" t="n"/>
      <c r="M313" s="58" t="n"/>
      <c r="N313" s="22" t="n"/>
      <c r="O313" s="24">
        <f>IFERROR(IF(OR(M313="",M313=0),0,H313*VALUE(SUBSTITUTE(M313&amp;"","$",""))),0)</f>
        <v/>
      </c>
    </row>
    <row r="314" outlineLevel="1" ht="16" customHeight="1">
      <c r="A314" s="13" t="n"/>
      <c r="B314" s="25" t="n"/>
      <c r="C314" s="26" t="n"/>
      <c r="D314" s="56" t="n"/>
      <c r="E314" s="56" t="n"/>
      <c r="F314" s="27" t="n"/>
      <c r="G314" s="18">
        <f>IF(D314="Tandem",10,IF(D314="TT",22,IF(D314="Quad",25,"")))</f>
        <v/>
      </c>
      <c r="H314" s="28">
        <f>IFERROR(IF(F314*G314=0,0,F314*G314),0)</f>
        <v/>
      </c>
      <c r="I314" s="29" t="n"/>
      <c r="J314" s="57" t="n"/>
      <c r="K314" s="25" t="n"/>
      <c r="L314" s="30" t="n"/>
      <c r="M314" s="58" t="n"/>
      <c r="N314" s="30" t="n"/>
      <c r="O314" s="24">
        <f>IFERROR(IF(OR(M314="",M314=0),0,H314*VALUE(SUBSTITUTE(M314&amp;"","$",""))),0)</f>
        <v/>
      </c>
    </row>
    <row r="315" outlineLevel="1" ht="16" customHeight="1">
      <c r="A315" s="13" t="n"/>
      <c r="B315" s="14" t="n"/>
      <c r="C315" s="15" t="n"/>
      <c r="D315" s="56" t="n"/>
      <c r="E315" s="56" t="n"/>
      <c r="F315" s="17" t="n"/>
      <c r="G315" s="18">
        <f>IF(D315="Tandem",10,IF(D315="TT",22,IF(D315="Quad",25,"")))</f>
        <v/>
      </c>
      <c r="H315" s="19">
        <f>IFERROR(IF(F315*G315=0,0,F315*G315),0)</f>
        <v/>
      </c>
      <c r="I315" s="20" t="n"/>
      <c r="J315" s="57" t="n"/>
      <c r="K315" s="14" t="n"/>
      <c r="L315" s="22" t="n"/>
      <c r="M315" s="58" t="n"/>
      <c r="N315" s="22" t="n"/>
      <c r="O315" s="24">
        <f>IFERROR(IF(OR(M315="",M315=0),0,H315*VALUE(SUBSTITUTE(M315&amp;"","$",""))),0)</f>
        <v/>
      </c>
    </row>
    <row r="316" outlineLevel="1" ht="16" customHeight="1">
      <c r="A316" s="13" t="n"/>
      <c r="B316" s="25" t="n"/>
      <c r="C316" s="26" t="n"/>
      <c r="D316" s="56" t="n"/>
      <c r="E316" s="56" t="n"/>
      <c r="F316" s="27" t="n"/>
      <c r="G316" s="18">
        <f>IF(D316="Tandem",10,IF(D316="TT",22,IF(D316="Quad",25,"")))</f>
        <v/>
      </c>
      <c r="H316" s="28">
        <f>IFERROR(IF(F316*G316=0,0,F316*G316),0)</f>
        <v/>
      </c>
      <c r="I316" s="29" t="n"/>
      <c r="J316" s="57" t="n"/>
      <c r="K316" s="25" t="n"/>
      <c r="L316" s="30" t="n"/>
      <c r="M316" s="58" t="n"/>
      <c r="N316" s="30" t="n"/>
      <c r="O316" s="24">
        <f>IFERROR(IF(OR(M316="",M316=0),0,H316*VALUE(SUBSTITUTE(M316&amp;"","$",""))),0)</f>
        <v/>
      </c>
    </row>
    <row r="317" outlineLevel="1" ht="16" customHeight="1">
      <c r="A317" s="13" t="n"/>
      <c r="B317" s="14" t="n"/>
      <c r="C317" s="15" t="n"/>
      <c r="D317" s="56" t="n"/>
      <c r="E317" s="56" t="n"/>
      <c r="F317" s="17" t="n"/>
      <c r="G317" s="18">
        <f>IF(D317="Tandem",10,IF(D317="TT",22,IF(D317="Quad",25,"")))</f>
        <v/>
      </c>
      <c r="H317" s="19">
        <f>IFERROR(IF(F317*G317=0,0,F317*G317),0)</f>
        <v/>
      </c>
      <c r="I317" s="20" t="n"/>
      <c r="J317" s="57" t="n"/>
      <c r="K317" s="14" t="n"/>
      <c r="L317" s="22" t="n"/>
      <c r="M317" s="58" t="n"/>
      <c r="N317" s="22" t="n"/>
      <c r="O317" s="24">
        <f>IFERROR(IF(OR(M317="",M317=0),0,H317*VALUE(SUBSTITUTE(M317&amp;"","$",""))),0)</f>
        <v/>
      </c>
    </row>
    <row r="318" outlineLevel="1" ht="16" customHeight="1">
      <c r="A318" s="13" t="n"/>
      <c r="B318" s="25" t="n"/>
      <c r="C318" s="26" t="n"/>
      <c r="D318" s="56" t="n"/>
      <c r="E318" s="56" t="n"/>
      <c r="F318" s="27" t="n"/>
      <c r="G318" s="18">
        <f>IF(D318="Tandem",10,IF(D318="TT",22,IF(D318="Quad",25,"")))</f>
        <v/>
      </c>
      <c r="H318" s="28">
        <f>IFERROR(IF(F318*G318=0,0,F318*G318),0)</f>
        <v/>
      </c>
      <c r="I318" s="29" t="n"/>
      <c r="J318" s="57" t="n"/>
      <c r="K318" s="25" t="n"/>
      <c r="L318" s="30" t="n"/>
      <c r="M318" s="58" t="n"/>
      <c r="N318" s="30" t="n"/>
      <c r="O318" s="24">
        <f>IFERROR(IF(OR(M318="",M318=0),0,H318*VALUE(SUBSTITUTE(M318&amp;"","$",""))),0)</f>
        <v/>
      </c>
    </row>
    <row r="319" outlineLevel="1" ht="16" customHeight="1">
      <c r="A319" s="13" t="n"/>
      <c r="B319" s="14" t="n"/>
      <c r="C319" s="15" t="n"/>
      <c r="D319" s="56" t="n"/>
      <c r="E319" s="56" t="n"/>
      <c r="F319" s="17" t="n"/>
      <c r="G319" s="18">
        <f>IF(D319="Tandem",10,IF(D319="TT",22,IF(D319="Quad",25,"")))</f>
        <v/>
      </c>
      <c r="H319" s="19">
        <f>IFERROR(IF(F319*G319=0,0,F319*G319),0)</f>
        <v/>
      </c>
      <c r="I319" s="20" t="n"/>
      <c r="J319" s="57" t="n"/>
      <c r="K319" s="14" t="n"/>
      <c r="L319" s="22" t="n"/>
      <c r="M319" s="58" t="n"/>
      <c r="N319" s="22" t="n"/>
      <c r="O319" s="24">
        <f>IFERROR(IF(OR(M319="",M319=0),0,H319*VALUE(SUBSTITUTE(M319&amp;"","$",""))),0)</f>
        <v/>
      </c>
    </row>
    <row r="320" outlineLevel="1" ht="16" customHeight="1">
      <c r="A320" s="13" t="n"/>
      <c r="B320" s="25" t="n"/>
      <c r="C320" s="26" t="n"/>
      <c r="D320" s="56" t="n"/>
      <c r="E320" s="56" t="n"/>
      <c r="F320" s="27" t="n"/>
      <c r="G320" s="18">
        <f>IF(D320="Tandem",10,IF(D320="TT",22,IF(D320="Quad",25,"")))</f>
        <v/>
      </c>
      <c r="H320" s="28">
        <f>IFERROR(IF(F320*G320=0,0,F320*G320),0)</f>
        <v/>
      </c>
      <c r="I320" s="29" t="n"/>
      <c r="J320" s="57" t="n"/>
      <c r="K320" s="25" t="n"/>
      <c r="L320" s="30" t="n"/>
      <c r="M320" s="58" t="n"/>
      <c r="N320" s="30" t="n"/>
      <c r="O320" s="24">
        <f>IFERROR(IF(OR(M320="",M320=0),0,H320*VALUE(SUBSTITUTE(M320&amp;"","$",""))),0)</f>
        <v/>
      </c>
    </row>
    <row r="321" outlineLevel="1" ht="16" customHeight="1">
      <c r="A321" s="13" t="n"/>
      <c r="B321" s="14" t="n"/>
      <c r="C321" s="15" t="n"/>
      <c r="D321" s="56" t="n"/>
      <c r="E321" s="56" t="n"/>
      <c r="F321" s="17" t="n"/>
      <c r="G321" s="18">
        <f>IF(D321="Tandem",10,IF(D321="TT",22,IF(D321="Quad",25,"")))</f>
        <v/>
      </c>
      <c r="H321" s="19">
        <f>IFERROR(IF(F321*G321=0,0,F321*G321),0)</f>
        <v/>
      </c>
      <c r="I321" s="20" t="n"/>
      <c r="J321" s="57" t="n"/>
      <c r="K321" s="14" t="n"/>
      <c r="L321" s="22" t="n"/>
      <c r="M321" s="58" t="n"/>
      <c r="N321" s="22" t="n"/>
      <c r="O321" s="24">
        <f>IFERROR(IF(OR(M321="",M321=0),0,H321*VALUE(SUBSTITUTE(M321&amp;"","$",""))),0)</f>
        <v/>
      </c>
    </row>
    <row r="322" outlineLevel="1" ht="16" customHeight="1">
      <c r="A322" s="13" t="n"/>
      <c r="B322" s="25" t="n"/>
      <c r="C322" s="26" t="n"/>
      <c r="D322" s="56" t="n"/>
      <c r="E322" s="56" t="n"/>
      <c r="F322" s="27" t="n"/>
      <c r="G322" s="18">
        <f>IF(D322="Tandem",10,IF(D322="TT",22,IF(D322="Quad",25,"")))</f>
        <v/>
      </c>
      <c r="H322" s="28">
        <f>IFERROR(IF(F322*G322=0,0,F322*G322),0)</f>
        <v/>
      </c>
      <c r="I322" s="29" t="n"/>
      <c r="J322" s="57" t="n"/>
      <c r="K322" s="25" t="n"/>
      <c r="L322" s="30" t="n"/>
      <c r="M322" s="58" t="n"/>
      <c r="N322" s="30" t="n"/>
      <c r="O322" s="24">
        <f>IFERROR(IF(OR(M322="",M322=0),0,H322*VALUE(SUBSTITUTE(M322&amp;"","$",""))),0)</f>
        <v/>
      </c>
    </row>
    <row r="323" outlineLevel="1" ht="16" customHeight="1">
      <c r="A323" s="13" t="n"/>
      <c r="B323" s="14" t="n"/>
      <c r="C323" s="15" t="n"/>
      <c r="D323" s="56" t="n"/>
      <c r="E323" s="56" t="n"/>
      <c r="F323" s="17" t="n"/>
      <c r="G323" s="18">
        <f>IF(D323="Tandem",10,IF(D323="TT",22,IF(D323="Quad",25,"")))</f>
        <v/>
      </c>
      <c r="H323" s="19">
        <f>IFERROR(IF(F323*G323=0,0,F323*G323),0)</f>
        <v/>
      </c>
      <c r="I323" s="20" t="n"/>
      <c r="J323" s="57" t="n"/>
      <c r="K323" s="14" t="n"/>
      <c r="L323" s="22" t="n"/>
      <c r="M323" s="58" t="n"/>
      <c r="N323" s="22" t="n"/>
      <c r="O323" s="24">
        <f>IFERROR(IF(OR(M323="",M323=0),0,H323*VALUE(SUBSTITUTE(M323&amp;"","$",""))),0)</f>
        <v/>
      </c>
    </row>
    <row r="324" outlineLevel="1" ht="16" customHeight="1">
      <c r="A324" s="13" t="n"/>
      <c r="B324" s="25" t="n"/>
      <c r="C324" s="26" t="n"/>
      <c r="D324" s="56" t="n"/>
      <c r="E324" s="56" t="n"/>
      <c r="F324" s="27" t="n"/>
      <c r="G324" s="18">
        <f>IF(D324="Tandem",10,IF(D324="TT",22,IF(D324="Quad",25,"")))</f>
        <v/>
      </c>
      <c r="H324" s="28">
        <f>IFERROR(IF(F324*G324=0,0,F324*G324),0)</f>
        <v/>
      </c>
      <c r="I324" s="29" t="n"/>
      <c r="J324" s="57" t="n"/>
      <c r="K324" s="25" t="n"/>
      <c r="L324" s="30" t="n"/>
      <c r="M324" s="58" t="n"/>
      <c r="N324" s="30" t="n"/>
      <c r="O324" s="24">
        <f>IFERROR(IF(OR(M324="",M324=0),0,H324*VALUE(SUBSTITUTE(M324&amp;"","$",""))),0)</f>
        <v/>
      </c>
    </row>
    <row r="325" outlineLevel="1" ht="16" customHeight="1">
      <c r="A325" s="13" t="n"/>
      <c r="B325" s="14" t="n"/>
      <c r="C325" s="15" t="n"/>
      <c r="D325" s="56" t="n"/>
      <c r="E325" s="56" t="n"/>
      <c r="F325" s="17" t="n"/>
      <c r="G325" s="18">
        <f>IF(D325="Tandem",10,IF(D325="TT",22,IF(D325="Quad",25,"")))</f>
        <v/>
      </c>
      <c r="H325" s="19">
        <f>IFERROR(IF(F325*G325=0,0,F325*G325),0)</f>
        <v/>
      </c>
      <c r="I325" s="20" t="n"/>
      <c r="J325" s="57" t="n"/>
      <c r="K325" s="14" t="n"/>
      <c r="L325" s="22" t="n"/>
      <c r="M325" s="58" t="n"/>
      <c r="N325" s="22" t="n"/>
      <c r="O325" s="24">
        <f>IFERROR(IF(OR(M325="",M325=0),0,H325*VALUE(SUBSTITUTE(M325&amp;"","$",""))),0)</f>
        <v/>
      </c>
    </row>
    <row r="326" outlineLevel="1" ht="16" customHeight="1">
      <c r="A326" s="13" t="n"/>
      <c r="B326" s="25" t="n"/>
      <c r="C326" s="26" t="n"/>
      <c r="D326" s="56" t="n"/>
      <c r="E326" s="56" t="n"/>
      <c r="F326" s="27" t="n"/>
      <c r="G326" s="18">
        <f>IF(D326="Tandem",10,IF(D326="TT",22,IF(D326="Quad",25,"")))</f>
        <v/>
      </c>
      <c r="H326" s="28">
        <f>IFERROR(IF(F326*G326=0,0,F326*G326),0)</f>
        <v/>
      </c>
      <c r="I326" s="29" t="n"/>
      <c r="J326" s="57" t="n"/>
      <c r="K326" s="25" t="n"/>
      <c r="L326" s="30" t="n"/>
      <c r="M326" s="58" t="n"/>
      <c r="N326" s="30" t="n"/>
      <c r="O326" s="24">
        <f>IFERROR(IF(OR(M326="",M326=0),0,H326*VALUE(SUBSTITUTE(M326&amp;"","$",""))),0)</f>
        <v/>
      </c>
    </row>
    <row r="327" outlineLevel="1" ht="16" customHeight="1">
      <c r="A327" s="13" t="n"/>
      <c r="B327" s="14" t="n"/>
      <c r="C327" s="15" t="n"/>
      <c r="D327" s="56" t="n"/>
      <c r="E327" s="56" t="n"/>
      <c r="F327" s="17" t="n"/>
      <c r="G327" s="18">
        <f>IF(D327="Tandem",10,IF(D327="TT",22,IF(D327="Quad",25,"")))</f>
        <v/>
      </c>
      <c r="H327" s="19">
        <f>IFERROR(IF(F327*G327=0,0,F327*G327),0)</f>
        <v/>
      </c>
      <c r="I327" s="20" t="n"/>
      <c r="J327" s="57" t="n"/>
      <c r="K327" s="14" t="n"/>
      <c r="L327" s="22" t="n"/>
      <c r="M327" s="58" t="n"/>
      <c r="N327" s="22" t="n"/>
      <c r="O327" s="24">
        <f>IFERROR(IF(OR(M327="",M327=0),0,H327*VALUE(SUBSTITUTE(M327&amp;"","$",""))),0)</f>
        <v/>
      </c>
    </row>
    <row r="328" outlineLevel="1" ht="16" customHeight="1">
      <c r="A328" s="13" t="n"/>
      <c r="B328" s="25" t="n"/>
      <c r="C328" s="26" t="n"/>
      <c r="D328" s="56" t="n"/>
      <c r="E328" s="56" t="n"/>
      <c r="F328" s="27" t="n"/>
      <c r="G328" s="18">
        <f>IF(D328="Tandem",10,IF(D328="TT",22,IF(D328="Quad",25,"")))</f>
        <v/>
      </c>
      <c r="H328" s="28">
        <f>IFERROR(IF(F328*G328=0,0,F328*G328),0)</f>
        <v/>
      </c>
      <c r="I328" s="29" t="n"/>
      <c r="J328" s="57" t="n"/>
      <c r="K328" s="25" t="n"/>
      <c r="L328" s="30" t="n"/>
      <c r="M328" s="58" t="n"/>
      <c r="N328" s="30" t="n"/>
      <c r="O328" s="24">
        <f>IFERROR(IF(OR(M328="",M328=0),0,H328*VALUE(SUBSTITUTE(M328&amp;"","$",""))),0)</f>
        <v/>
      </c>
    </row>
    <row r="329" outlineLevel="1" ht="16" customHeight="1">
      <c r="A329" s="13" t="n"/>
      <c r="B329" s="14" t="n"/>
      <c r="C329" s="15" t="n"/>
      <c r="D329" s="56" t="n"/>
      <c r="E329" s="56" t="n"/>
      <c r="F329" s="17" t="n"/>
      <c r="G329" s="18">
        <f>IF(D329="Tandem",10,IF(D329="TT",22,IF(D329="Quad",25,"")))</f>
        <v/>
      </c>
      <c r="H329" s="19">
        <f>IFERROR(IF(F329*G329=0,0,F329*G329),0)</f>
        <v/>
      </c>
      <c r="I329" s="20" t="n"/>
      <c r="J329" s="57" t="n"/>
      <c r="K329" s="14" t="n"/>
      <c r="L329" s="22" t="n"/>
      <c r="M329" s="58" t="n"/>
      <c r="N329" s="22" t="n"/>
      <c r="O329" s="24">
        <f>IFERROR(IF(OR(M329="",M329=0),0,H329*VALUE(SUBSTITUTE(M329&amp;"","$",""))),0)</f>
        <v/>
      </c>
    </row>
    <row r="330" outlineLevel="1" ht="16" customHeight="1">
      <c r="A330" s="13" t="n"/>
      <c r="B330" s="25" t="n"/>
      <c r="C330" s="26" t="n"/>
      <c r="D330" s="56" t="n"/>
      <c r="E330" s="56" t="n"/>
      <c r="F330" s="27" t="n"/>
      <c r="G330" s="18">
        <f>IF(D330="Tandem",10,IF(D330="TT",22,IF(D330="Quad",25,"")))</f>
        <v/>
      </c>
      <c r="H330" s="28">
        <f>IFERROR(IF(F330*G330=0,0,F330*G330),0)</f>
        <v/>
      </c>
      <c r="I330" s="29" t="n"/>
      <c r="J330" s="57" t="n"/>
      <c r="K330" s="25" t="n"/>
      <c r="L330" s="30" t="n"/>
      <c r="M330" s="58" t="n"/>
      <c r="N330" s="30" t="n"/>
      <c r="O330" s="24">
        <f>IFERROR(IF(OR(M330="",M330=0),0,H330*VALUE(SUBSTITUTE(M330&amp;"","$",""))),0)</f>
        <v/>
      </c>
    </row>
    <row r="331" outlineLevel="1" ht="16" customHeight="1">
      <c r="A331" s="13" t="n"/>
      <c r="B331" s="14" t="n"/>
      <c r="C331" s="15" t="n"/>
      <c r="D331" s="56" t="n"/>
      <c r="E331" s="56" t="n"/>
      <c r="F331" s="17" t="n"/>
      <c r="G331" s="18">
        <f>IF(D331="Tandem",10,IF(D331="TT",22,IF(D331="Quad",25,"")))</f>
        <v/>
      </c>
      <c r="H331" s="19">
        <f>IFERROR(IF(F331*G331=0,0,F331*G331),0)</f>
        <v/>
      </c>
      <c r="I331" s="20" t="n"/>
      <c r="J331" s="57" t="n"/>
      <c r="K331" s="14" t="n"/>
      <c r="L331" s="22" t="n"/>
      <c r="M331" s="58" t="n"/>
      <c r="N331" s="22" t="n"/>
      <c r="O331" s="24">
        <f>IFERROR(IF(OR(M331="",M331=0),0,H331*VALUE(SUBSTITUTE(M331&amp;"","$",""))),0)</f>
        <v/>
      </c>
    </row>
    <row r="332" outlineLevel="1" ht="16" customHeight="1">
      <c r="A332" s="13" t="n"/>
      <c r="B332" s="25" t="n"/>
      <c r="C332" s="26" t="n"/>
      <c r="D332" s="56" t="n"/>
      <c r="E332" s="56" t="n"/>
      <c r="F332" s="27" t="n"/>
      <c r="G332" s="18">
        <f>IF(D332="Tandem",10,IF(D332="TT",22,IF(D332="Quad",25,"")))</f>
        <v/>
      </c>
      <c r="H332" s="28">
        <f>IFERROR(IF(F332*G332=0,0,F332*G332),0)</f>
        <v/>
      </c>
      <c r="I332" s="29" t="n"/>
      <c r="J332" s="57" t="n"/>
      <c r="K332" s="25" t="n"/>
      <c r="L332" s="30" t="n"/>
      <c r="M332" s="58" t="n"/>
      <c r="N332" s="30" t="n"/>
      <c r="O332" s="24">
        <f>IFERROR(IF(OR(M332="",M332=0),0,H332*VALUE(SUBSTITUTE(M332&amp;"","$",""))),0)</f>
        <v/>
      </c>
    </row>
    <row r="333" outlineLevel="1" ht="16" customHeight="1">
      <c r="A333" s="13" t="n"/>
      <c r="B333" s="14" t="n"/>
      <c r="C333" s="15" t="n"/>
      <c r="D333" s="56" t="n"/>
      <c r="E333" s="56" t="n"/>
      <c r="F333" s="17" t="n"/>
      <c r="G333" s="18">
        <f>IF(D333="Tandem",10,IF(D333="TT",22,IF(D333="Quad",25,"")))</f>
        <v/>
      </c>
      <c r="H333" s="19">
        <f>IFERROR(IF(F333*G333=0,0,F333*G333),0)</f>
        <v/>
      </c>
      <c r="I333" s="20" t="n"/>
      <c r="J333" s="57" t="n"/>
      <c r="K333" s="14" t="n"/>
      <c r="L333" s="22" t="n"/>
      <c r="M333" s="58" t="n"/>
      <c r="N333" s="22" t="n"/>
      <c r="O333" s="24">
        <f>IFERROR(IF(OR(M333="",M333=0),0,H333*VALUE(SUBSTITUTE(M333&amp;"","$",""))),0)</f>
        <v/>
      </c>
    </row>
    <row r="334" outlineLevel="1" ht="16" customHeight="1">
      <c r="A334" s="13" t="n"/>
      <c r="B334" s="25" t="n"/>
      <c r="C334" s="26" t="n"/>
      <c r="D334" s="56" t="n"/>
      <c r="E334" s="56" t="n"/>
      <c r="F334" s="27" t="n"/>
      <c r="G334" s="18">
        <f>IF(D334="Tandem",10,IF(D334="TT",22,IF(D334="Quad",25,"")))</f>
        <v/>
      </c>
      <c r="H334" s="28">
        <f>IFERROR(IF(F334*G334=0,0,F334*G334),0)</f>
        <v/>
      </c>
      <c r="I334" s="29" t="n"/>
      <c r="J334" s="57" t="n"/>
      <c r="K334" s="25" t="n"/>
      <c r="L334" s="30" t="n"/>
      <c r="M334" s="58" t="n"/>
      <c r="N334" s="30" t="n"/>
      <c r="O334" s="24">
        <f>IFERROR(IF(OR(M334="",M334=0),0,H334*VALUE(SUBSTITUTE(M334&amp;"","$",""))),0)</f>
        <v/>
      </c>
    </row>
    <row r="335" outlineLevel="1" ht="16" customHeight="1">
      <c r="A335" s="13" t="n"/>
      <c r="B335" s="14" t="n"/>
      <c r="C335" s="15" t="n"/>
      <c r="D335" s="56" t="n"/>
      <c r="E335" s="56" t="n"/>
      <c r="F335" s="17" t="n"/>
      <c r="G335" s="18">
        <f>IF(D335="Tandem",10,IF(D335="TT",22,IF(D335="Quad",25,"")))</f>
        <v/>
      </c>
      <c r="H335" s="19">
        <f>IFERROR(IF(F335*G335=0,0,F335*G335),0)</f>
        <v/>
      </c>
      <c r="I335" s="20" t="n"/>
      <c r="J335" s="57" t="n"/>
      <c r="K335" s="14" t="n"/>
      <c r="L335" s="22" t="n"/>
      <c r="M335" s="58" t="n"/>
      <c r="N335" s="22" t="n"/>
      <c r="O335" s="24">
        <f>IFERROR(IF(OR(M335="",M335=0),0,H335*VALUE(SUBSTITUTE(M335&amp;"","$",""))),0)</f>
        <v/>
      </c>
    </row>
    <row r="336" outlineLevel="1" ht="16" customHeight="1">
      <c r="A336" s="13" t="n"/>
      <c r="B336" s="25" t="n"/>
      <c r="C336" s="26" t="n"/>
      <c r="D336" s="56" t="n"/>
      <c r="E336" s="56" t="n"/>
      <c r="F336" s="27" t="n"/>
      <c r="G336" s="18">
        <f>IF(D336="Tandem",10,IF(D336="TT",22,IF(D336="Quad",25,"")))</f>
        <v/>
      </c>
      <c r="H336" s="28">
        <f>IFERROR(IF(F336*G336=0,0,F336*G336),0)</f>
        <v/>
      </c>
      <c r="I336" s="29" t="n"/>
      <c r="J336" s="57" t="n"/>
      <c r="K336" s="25" t="n"/>
      <c r="L336" s="30" t="n"/>
      <c r="M336" s="58" t="n"/>
      <c r="N336" s="30" t="n"/>
      <c r="O336" s="24">
        <f>IFERROR(IF(OR(M336="",M336=0),0,H336*VALUE(SUBSTITUTE(M336&amp;"","$",""))),0)</f>
        <v/>
      </c>
    </row>
    <row r="337" outlineLevel="1" ht="20" customHeight="1">
      <c r="A337" s="59" t="inlineStr">
        <is>
          <t>Daily Notes:</t>
        </is>
      </c>
      <c r="B337" s="54" t="n"/>
      <c r="C337" s="54" t="n"/>
      <c r="D337" s="54" t="n"/>
      <c r="E337" s="54" t="n"/>
      <c r="F337" s="54" t="n"/>
      <c r="G337" s="54" t="n"/>
      <c r="H337" s="54" t="n"/>
      <c r="I337" s="54" t="n"/>
      <c r="J337" s="54" t="n"/>
      <c r="K337" s="54" t="n"/>
      <c r="L337" s="54" t="n"/>
      <c r="M337" s="54" t="n"/>
      <c r="N337" s="50" t="n"/>
      <c r="O337" s="60" t="n"/>
    </row>
    <row r="338" outlineLevel="1" ht="18" customHeight="1">
      <c r="A338" s="32" t="inlineStr">
        <is>
          <t>DAILY TOTAL</t>
        </is>
      </c>
      <c r="B338" s="54" t="n"/>
      <c r="C338" s="54" t="n"/>
      <c r="D338" s="54" t="n"/>
      <c r="E338" s="54" t="n"/>
      <c r="F338" s="54" t="n"/>
      <c r="G338" s="50" t="n"/>
      <c r="H338" s="34">
        <f>SUM(H307:H336)</f>
        <v/>
      </c>
      <c r="I338" s="35">
        <f>SUM(I307:I336)</f>
        <v/>
      </c>
      <c r="J338" s="61" t="n"/>
      <c r="K338" s="61" t="n"/>
      <c r="L338" s="61" t="n"/>
      <c r="M338" s="36">
        <f>SUM(O307:O336)</f>
        <v/>
      </c>
      <c r="N338" s="61" t="n"/>
      <c r="O338" s="62" t="n"/>
    </row>
    <row r="339" outlineLevel="1" ht="18" customHeight="1">
      <c r="A339" s="2" t="inlineStr">
        <is>
          <t>▶ RUNNING TOTAL</t>
        </is>
      </c>
      <c r="B339" s="54" t="n"/>
      <c r="C339" s="54" t="n"/>
      <c r="D339" s="54" t="n"/>
      <c r="E339" s="54" t="n"/>
      <c r="F339" s="54" t="n"/>
      <c r="G339" s="50" t="n"/>
      <c r="H339" s="37">
        <f>H50+H86+H122+H158+H194+H230+H266+H302+H338</f>
        <v/>
      </c>
      <c r="I339" s="63" t="n"/>
      <c r="J339" s="63" t="n"/>
      <c r="K339" s="63" t="n"/>
      <c r="L339" s="63" t="n"/>
      <c r="M339" s="38">
        <f>M50+M86+M122+M158+M194+M230+M266+M302+M338</f>
        <v/>
      </c>
      <c r="N339" s="63" t="n"/>
      <c r="O339" s="64" t="n"/>
    </row>
    <row r="340" outlineLevel="1" ht="8" customHeight="1"/>
    <row r="341" ht="22" customHeight="1">
      <c r="A341" s="55" t="inlineStr">
        <is>
          <t>DAY 10</t>
        </is>
      </c>
      <c r="B341" s="54" t="n"/>
      <c r="C341" s="54" t="n"/>
      <c r="D341" s="54" t="n"/>
      <c r="E341" s="54" t="n"/>
      <c r="F341" s="54" t="n"/>
      <c r="G341" s="54" t="n"/>
      <c r="H341" s="54" t="n"/>
      <c r="I341" s="54" t="n"/>
      <c r="J341" s="54" t="n"/>
      <c r="K341" s="54" t="n"/>
      <c r="L341" s="54" t="n"/>
      <c r="M341" s="54" t="n"/>
      <c r="N341" s="50" t="n"/>
    </row>
    <row r="342" outlineLevel="1" ht="28" customHeight="1">
      <c r="A342" s="12" t="inlineStr">
        <is>
          <t>Date</t>
        </is>
      </c>
      <c r="B342" s="12" t="inlineStr">
        <is>
          <t>Cartage Company</t>
        </is>
      </c>
      <c r="C342" s="12" t="inlineStr">
        <is>
          <t>Truck Rego</t>
        </is>
      </c>
      <c r="D342" s="12" t="inlineStr">
        <is>
          <t>Truck Type</t>
        </is>
      </c>
      <c r="E342" s="12" t="inlineStr">
        <is>
          <t>Exp / Imp</t>
        </is>
      </c>
      <c r="F342" s="12" t="inlineStr">
        <is>
          <t>Loads</t>
        </is>
      </c>
      <c r="G342" s="12" t="inlineStr">
        <is>
          <t>m³ / Load</t>
        </is>
      </c>
      <c r="H342" s="12" t="inlineStr">
        <is>
          <t>Total m³</t>
        </is>
      </c>
      <c r="I342" s="12" t="inlineStr">
        <is>
          <t>Hours</t>
        </is>
      </c>
      <c r="J342" s="12" t="inlineStr">
        <is>
          <t>Material</t>
        </is>
      </c>
      <c r="K342" s="12" t="inlineStr">
        <is>
          <t>Tip Site</t>
        </is>
      </c>
      <c r="L342" s="12" t="inlineStr">
        <is>
          <t>Docket #</t>
        </is>
      </c>
      <c r="M342" s="12" t="inlineStr">
        <is>
          <t>Rate Paid ($/m³)</t>
        </is>
      </c>
      <c r="N342" s="12" t="inlineStr">
        <is>
          <t>Invoice #</t>
        </is>
      </c>
    </row>
    <row r="343" outlineLevel="1" ht="16" customHeight="1">
      <c r="A343" s="13" t="n"/>
      <c r="B343" s="14" t="n"/>
      <c r="C343" s="15" t="n"/>
      <c r="D343" s="56" t="n"/>
      <c r="E343" s="56" t="n"/>
      <c r="F343" s="17" t="n"/>
      <c r="G343" s="18">
        <f>IF(D343="Tandem",10,IF(D343="TT",22,IF(D343="Quad",25,"")))</f>
        <v/>
      </c>
      <c r="H343" s="19">
        <f>IFERROR(IF(F343*G343=0,0,F343*G343),0)</f>
        <v/>
      </c>
      <c r="I343" s="20" t="n"/>
      <c r="J343" s="57" t="n"/>
      <c r="K343" s="14" t="n"/>
      <c r="L343" s="22" t="n"/>
      <c r="M343" s="58" t="n"/>
      <c r="N343" s="22" t="n"/>
      <c r="O343" s="24">
        <f>IFERROR(IF(OR(M343="",M343=0),0,H343*VALUE(SUBSTITUTE(M343&amp;"","$",""))),0)</f>
        <v/>
      </c>
    </row>
    <row r="344" outlineLevel="1" ht="16" customHeight="1">
      <c r="A344" s="13" t="n"/>
      <c r="B344" s="25" t="n"/>
      <c r="C344" s="26" t="n"/>
      <c r="D344" s="56" t="n"/>
      <c r="E344" s="56" t="n"/>
      <c r="F344" s="27" t="n"/>
      <c r="G344" s="18">
        <f>IF(D344="Tandem",10,IF(D344="TT",22,IF(D344="Quad",25,"")))</f>
        <v/>
      </c>
      <c r="H344" s="28">
        <f>IFERROR(IF(F344*G344=0,0,F344*G344),0)</f>
        <v/>
      </c>
      <c r="I344" s="29" t="n"/>
      <c r="J344" s="57" t="n"/>
      <c r="K344" s="25" t="n"/>
      <c r="L344" s="30" t="n"/>
      <c r="M344" s="58" t="n"/>
      <c r="N344" s="30" t="n"/>
      <c r="O344" s="24">
        <f>IFERROR(IF(OR(M344="",M344=0),0,H344*VALUE(SUBSTITUTE(M344&amp;"","$",""))),0)</f>
        <v/>
      </c>
    </row>
    <row r="345" outlineLevel="1" ht="16" customHeight="1">
      <c r="A345" s="13" t="n"/>
      <c r="B345" s="14" t="n"/>
      <c r="C345" s="15" t="n"/>
      <c r="D345" s="56" t="n"/>
      <c r="E345" s="56" t="n"/>
      <c r="F345" s="17" t="n"/>
      <c r="G345" s="18">
        <f>IF(D345="Tandem",10,IF(D345="TT",22,IF(D345="Quad",25,"")))</f>
        <v/>
      </c>
      <c r="H345" s="19">
        <f>IFERROR(IF(F345*G345=0,0,F345*G345),0)</f>
        <v/>
      </c>
      <c r="I345" s="20" t="n"/>
      <c r="J345" s="57" t="n"/>
      <c r="K345" s="14" t="n"/>
      <c r="L345" s="22" t="n"/>
      <c r="M345" s="58" t="n"/>
      <c r="N345" s="22" t="n"/>
      <c r="O345" s="24">
        <f>IFERROR(IF(OR(M345="",M345=0),0,H345*VALUE(SUBSTITUTE(M345&amp;"","$",""))),0)</f>
        <v/>
      </c>
    </row>
    <row r="346" outlineLevel="1" ht="16" customHeight="1">
      <c r="A346" s="13" t="n"/>
      <c r="B346" s="25" t="n"/>
      <c r="C346" s="26" t="n"/>
      <c r="D346" s="56" t="n"/>
      <c r="E346" s="56" t="n"/>
      <c r="F346" s="27" t="n"/>
      <c r="G346" s="18">
        <f>IF(D346="Tandem",10,IF(D346="TT",22,IF(D346="Quad",25,"")))</f>
        <v/>
      </c>
      <c r="H346" s="28">
        <f>IFERROR(IF(F346*G346=0,0,F346*G346),0)</f>
        <v/>
      </c>
      <c r="I346" s="29" t="n"/>
      <c r="J346" s="57" t="n"/>
      <c r="K346" s="25" t="n"/>
      <c r="L346" s="30" t="n"/>
      <c r="M346" s="58" t="n"/>
      <c r="N346" s="30" t="n"/>
      <c r="O346" s="24">
        <f>IFERROR(IF(OR(M346="",M346=0),0,H346*VALUE(SUBSTITUTE(M346&amp;"","$",""))),0)</f>
        <v/>
      </c>
    </row>
    <row r="347" outlineLevel="1" ht="16" customHeight="1">
      <c r="A347" s="13" t="n"/>
      <c r="B347" s="14" t="n"/>
      <c r="C347" s="15" t="n"/>
      <c r="D347" s="56" t="n"/>
      <c r="E347" s="56" t="n"/>
      <c r="F347" s="17" t="n"/>
      <c r="G347" s="18">
        <f>IF(D347="Tandem",10,IF(D347="TT",22,IF(D347="Quad",25,"")))</f>
        <v/>
      </c>
      <c r="H347" s="19">
        <f>IFERROR(IF(F347*G347=0,0,F347*G347),0)</f>
        <v/>
      </c>
      <c r="I347" s="20" t="n"/>
      <c r="J347" s="57" t="n"/>
      <c r="K347" s="14" t="n"/>
      <c r="L347" s="22" t="n"/>
      <c r="M347" s="58" t="n"/>
      <c r="N347" s="22" t="n"/>
      <c r="O347" s="24">
        <f>IFERROR(IF(OR(M347="",M347=0),0,H347*VALUE(SUBSTITUTE(M347&amp;"","$",""))),0)</f>
        <v/>
      </c>
    </row>
    <row r="348" outlineLevel="1" ht="16" customHeight="1">
      <c r="A348" s="13" t="n"/>
      <c r="B348" s="25" t="n"/>
      <c r="C348" s="26" t="n"/>
      <c r="D348" s="56" t="n"/>
      <c r="E348" s="56" t="n"/>
      <c r="F348" s="27" t="n"/>
      <c r="G348" s="18">
        <f>IF(D348="Tandem",10,IF(D348="TT",22,IF(D348="Quad",25,"")))</f>
        <v/>
      </c>
      <c r="H348" s="28">
        <f>IFERROR(IF(F348*G348=0,0,F348*G348),0)</f>
        <v/>
      </c>
      <c r="I348" s="29" t="n"/>
      <c r="J348" s="57" t="n"/>
      <c r="K348" s="25" t="n"/>
      <c r="L348" s="30" t="n"/>
      <c r="M348" s="58" t="n"/>
      <c r="N348" s="30" t="n"/>
      <c r="O348" s="24">
        <f>IFERROR(IF(OR(M348="",M348=0),0,H348*VALUE(SUBSTITUTE(M348&amp;"","$",""))),0)</f>
        <v/>
      </c>
    </row>
    <row r="349" outlineLevel="1" ht="16" customHeight="1">
      <c r="A349" s="13" t="n"/>
      <c r="B349" s="14" t="n"/>
      <c r="C349" s="15" t="n"/>
      <c r="D349" s="56" t="n"/>
      <c r="E349" s="56" t="n"/>
      <c r="F349" s="17" t="n"/>
      <c r="G349" s="18">
        <f>IF(D349="Tandem",10,IF(D349="TT",22,IF(D349="Quad",25,"")))</f>
        <v/>
      </c>
      <c r="H349" s="19">
        <f>IFERROR(IF(F349*G349=0,0,F349*G349),0)</f>
        <v/>
      </c>
      <c r="I349" s="20" t="n"/>
      <c r="J349" s="57" t="n"/>
      <c r="K349" s="14" t="n"/>
      <c r="L349" s="22" t="n"/>
      <c r="M349" s="58" t="n"/>
      <c r="N349" s="22" t="n"/>
      <c r="O349" s="24">
        <f>IFERROR(IF(OR(M349="",M349=0),0,H349*VALUE(SUBSTITUTE(M349&amp;"","$",""))),0)</f>
        <v/>
      </c>
    </row>
    <row r="350" outlineLevel="1" ht="16" customHeight="1">
      <c r="A350" s="13" t="n"/>
      <c r="B350" s="25" t="n"/>
      <c r="C350" s="26" t="n"/>
      <c r="D350" s="56" t="n"/>
      <c r="E350" s="56" t="n"/>
      <c r="F350" s="27" t="n"/>
      <c r="G350" s="18">
        <f>IF(D350="Tandem",10,IF(D350="TT",22,IF(D350="Quad",25,"")))</f>
        <v/>
      </c>
      <c r="H350" s="28">
        <f>IFERROR(IF(F350*G350=0,0,F350*G350),0)</f>
        <v/>
      </c>
      <c r="I350" s="29" t="n"/>
      <c r="J350" s="57" t="n"/>
      <c r="K350" s="25" t="n"/>
      <c r="L350" s="30" t="n"/>
      <c r="M350" s="58" t="n"/>
      <c r="N350" s="30" t="n"/>
      <c r="O350" s="24">
        <f>IFERROR(IF(OR(M350="",M350=0),0,H350*VALUE(SUBSTITUTE(M350&amp;"","$",""))),0)</f>
        <v/>
      </c>
    </row>
    <row r="351" outlineLevel="1" ht="16" customHeight="1">
      <c r="A351" s="13" t="n"/>
      <c r="B351" s="14" t="n"/>
      <c r="C351" s="15" t="n"/>
      <c r="D351" s="56" t="n"/>
      <c r="E351" s="56" t="n"/>
      <c r="F351" s="17" t="n"/>
      <c r="G351" s="18">
        <f>IF(D351="Tandem",10,IF(D351="TT",22,IF(D351="Quad",25,"")))</f>
        <v/>
      </c>
      <c r="H351" s="19">
        <f>IFERROR(IF(F351*G351=0,0,F351*G351),0)</f>
        <v/>
      </c>
      <c r="I351" s="20" t="n"/>
      <c r="J351" s="57" t="n"/>
      <c r="K351" s="14" t="n"/>
      <c r="L351" s="22" t="n"/>
      <c r="M351" s="58" t="n"/>
      <c r="N351" s="22" t="n"/>
      <c r="O351" s="24">
        <f>IFERROR(IF(OR(M351="",M351=0),0,H351*VALUE(SUBSTITUTE(M351&amp;"","$",""))),0)</f>
        <v/>
      </c>
    </row>
    <row r="352" outlineLevel="1" ht="16" customHeight="1">
      <c r="A352" s="13" t="n"/>
      <c r="B352" s="25" t="n"/>
      <c r="C352" s="26" t="n"/>
      <c r="D352" s="56" t="n"/>
      <c r="E352" s="56" t="n"/>
      <c r="F352" s="27" t="n"/>
      <c r="G352" s="18">
        <f>IF(D352="Tandem",10,IF(D352="TT",22,IF(D352="Quad",25,"")))</f>
        <v/>
      </c>
      <c r="H352" s="28">
        <f>IFERROR(IF(F352*G352=0,0,F352*G352),0)</f>
        <v/>
      </c>
      <c r="I352" s="29" t="n"/>
      <c r="J352" s="57" t="n"/>
      <c r="K352" s="25" t="n"/>
      <c r="L352" s="30" t="n"/>
      <c r="M352" s="58" t="n"/>
      <c r="N352" s="30" t="n"/>
      <c r="O352" s="24">
        <f>IFERROR(IF(OR(M352="",M352=0),0,H352*VALUE(SUBSTITUTE(M352&amp;"","$",""))),0)</f>
        <v/>
      </c>
    </row>
    <row r="353" outlineLevel="1" ht="16" customHeight="1">
      <c r="A353" s="13" t="n"/>
      <c r="B353" s="14" t="n"/>
      <c r="C353" s="15" t="n"/>
      <c r="D353" s="56" t="n"/>
      <c r="E353" s="56" t="n"/>
      <c r="F353" s="17" t="n"/>
      <c r="G353" s="18">
        <f>IF(D353="Tandem",10,IF(D353="TT",22,IF(D353="Quad",25,"")))</f>
        <v/>
      </c>
      <c r="H353" s="19">
        <f>IFERROR(IF(F353*G353=0,0,F353*G353),0)</f>
        <v/>
      </c>
      <c r="I353" s="20" t="n"/>
      <c r="J353" s="57" t="n"/>
      <c r="K353" s="14" t="n"/>
      <c r="L353" s="22" t="n"/>
      <c r="M353" s="58" t="n"/>
      <c r="N353" s="22" t="n"/>
      <c r="O353" s="24">
        <f>IFERROR(IF(OR(M353="",M353=0),0,H353*VALUE(SUBSTITUTE(M353&amp;"","$",""))),0)</f>
        <v/>
      </c>
    </row>
    <row r="354" outlineLevel="1" ht="16" customHeight="1">
      <c r="A354" s="13" t="n"/>
      <c r="B354" s="25" t="n"/>
      <c r="C354" s="26" t="n"/>
      <c r="D354" s="56" t="n"/>
      <c r="E354" s="56" t="n"/>
      <c r="F354" s="27" t="n"/>
      <c r="G354" s="18">
        <f>IF(D354="Tandem",10,IF(D354="TT",22,IF(D354="Quad",25,"")))</f>
        <v/>
      </c>
      <c r="H354" s="28">
        <f>IFERROR(IF(F354*G354=0,0,F354*G354),0)</f>
        <v/>
      </c>
      <c r="I354" s="29" t="n"/>
      <c r="J354" s="57" t="n"/>
      <c r="K354" s="25" t="n"/>
      <c r="L354" s="30" t="n"/>
      <c r="M354" s="58" t="n"/>
      <c r="N354" s="30" t="n"/>
      <c r="O354" s="24">
        <f>IFERROR(IF(OR(M354="",M354=0),0,H354*VALUE(SUBSTITUTE(M354&amp;"","$",""))),0)</f>
        <v/>
      </c>
    </row>
    <row r="355" outlineLevel="1" ht="16" customHeight="1">
      <c r="A355" s="13" t="n"/>
      <c r="B355" s="14" t="n"/>
      <c r="C355" s="15" t="n"/>
      <c r="D355" s="56" t="n"/>
      <c r="E355" s="56" t="n"/>
      <c r="F355" s="17" t="n"/>
      <c r="G355" s="18">
        <f>IF(D355="Tandem",10,IF(D355="TT",22,IF(D355="Quad",25,"")))</f>
        <v/>
      </c>
      <c r="H355" s="19">
        <f>IFERROR(IF(F355*G355=0,0,F355*G355),0)</f>
        <v/>
      </c>
      <c r="I355" s="20" t="n"/>
      <c r="J355" s="57" t="n"/>
      <c r="K355" s="14" t="n"/>
      <c r="L355" s="22" t="n"/>
      <c r="M355" s="58" t="n"/>
      <c r="N355" s="22" t="n"/>
      <c r="O355" s="24">
        <f>IFERROR(IF(OR(M355="",M355=0),0,H355*VALUE(SUBSTITUTE(M355&amp;"","$",""))),0)</f>
        <v/>
      </c>
    </row>
    <row r="356" outlineLevel="1" ht="16" customHeight="1">
      <c r="A356" s="13" t="n"/>
      <c r="B356" s="25" t="n"/>
      <c r="C356" s="26" t="n"/>
      <c r="D356" s="56" t="n"/>
      <c r="E356" s="56" t="n"/>
      <c r="F356" s="27" t="n"/>
      <c r="G356" s="18">
        <f>IF(D356="Tandem",10,IF(D356="TT",22,IF(D356="Quad",25,"")))</f>
        <v/>
      </c>
      <c r="H356" s="28">
        <f>IFERROR(IF(F356*G356=0,0,F356*G356),0)</f>
        <v/>
      </c>
      <c r="I356" s="29" t="n"/>
      <c r="J356" s="57" t="n"/>
      <c r="K356" s="25" t="n"/>
      <c r="L356" s="30" t="n"/>
      <c r="M356" s="58" t="n"/>
      <c r="N356" s="30" t="n"/>
      <c r="O356" s="24">
        <f>IFERROR(IF(OR(M356="",M356=0),0,H356*VALUE(SUBSTITUTE(M356&amp;"","$",""))),0)</f>
        <v/>
      </c>
    </row>
    <row r="357" outlineLevel="1" ht="16" customHeight="1">
      <c r="A357" s="13" t="n"/>
      <c r="B357" s="14" t="n"/>
      <c r="C357" s="15" t="n"/>
      <c r="D357" s="56" t="n"/>
      <c r="E357" s="56" t="n"/>
      <c r="F357" s="17" t="n"/>
      <c r="G357" s="18">
        <f>IF(D357="Tandem",10,IF(D357="TT",22,IF(D357="Quad",25,"")))</f>
        <v/>
      </c>
      <c r="H357" s="19">
        <f>IFERROR(IF(F357*G357=0,0,F357*G357),0)</f>
        <v/>
      </c>
      <c r="I357" s="20" t="n"/>
      <c r="J357" s="57" t="n"/>
      <c r="K357" s="14" t="n"/>
      <c r="L357" s="22" t="n"/>
      <c r="M357" s="58" t="n"/>
      <c r="N357" s="22" t="n"/>
      <c r="O357" s="24">
        <f>IFERROR(IF(OR(M357="",M357=0),0,H357*VALUE(SUBSTITUTE(M357&amp;"","$",""))),0)</f>
        <v/>
      </c>
    </row>
    <row r="358" outlineLevel="1" ht="16" customHeight="1">
      <c r="A358" s="13" t="n"/>
      <c r="B358" s="25" t="n"/>
      <c r="C358" s="26" t="n"/>
      <c r="D358" s="56" t="n"/>
      <c r="E358" s="56" t="n"/>
      <c r="F358" s="27" t="n"/>
      <c r="G358" s="18">
        <f>IF(D358="Tandem",10,IF(D358="TT",22,IF(D358="Quad",25,"")))</f>
        <v/>
      </c>
      <c r="H358" s="28">
        <f>IFERROR(IF(F358*G358=0,0,F358*G358),0)</f>
        <v/>
      </c>
      <c r="I358" s="29" t="n"/>
      <c r="J358" s="57" t="n"/>
      <c r="K358" s="25" t="n"/>
      <c r="L358" s="30" t="n"/>
      <c r="M358" s="58" t="n"/>
      <c r="N358" s="30" t="n"/>
      <c r="O358" s="24">
        <f>IFERROR(IF(OR(M358="",M358=0),0,H358*VALUE(SUBSTITUTE(M358&amp;"","$",""))),0)</f>
        <v/>
      </c>
    </row>
    <row r="359" outlineLevel="1" ht="16" customHeight="1">
      <c r="A359" s="13" t="n"/>
      <c r="B359" s="14" t="n"/>
      <c r="C359" s="15" t="n"/>
      <c r="D359" s="56" t="n"/>
      <c r="E359" s="56" t="n"/>
      <c r="F359" s="17" t="n"/>
      <c r="G359" s="18">
        <f>IF(D359="Tandem",10,IF(D359="TT",22,IF(D359="Quad",25,"")))</f>
        <v/>
      </c>
      <c r="H359" s="19">
        <f>IFERROR(IF(F359*G359=0,0,F359*G359),0)</f>
        <v/>
      </c>
      <c r="I359" s="20" t="n"/>
      <c r="J359" s="57" t="n"/>
      <c r="K359" s="14" t="n"/>
      <c r="L359" s="22" t="n"/>
      <c r="M359" s="58" t="n"/>
      <c r="N359" s="22" t="n"/>
      <c r="O359" s="24">
        <f>IFERROR(IF(OR(M359="",M359=0),0,H359*VALUE(SUBSTITUTE(M359&amp;"","$",""))),0)</f>
        <v/>
      </c>
    </row>
    <row r="360" outlineLevel="1" ht="16" customHeight="1">
      <c r="A360" s="13" t="n"/>
      <c r="B360" s="25" t="n"/>
      <c r="C360" s="26" t="n"/>
      <c r="D360" s="56" t="n"/>
      <c r="E360" s="56" t="n"/>
      <c r="F360" s="27" t="n"/>
      <c r="G360" s="18">
        <f>IF(D360="Tandem",10,IF(D360="TT",22,IF(D360="Quad",25,"")))</f>
        <v/>
      </c>
      <c r="H360" s="28">
        <f>IFERROR(IF(F360*G360=0,0,F360*G360),0)</f>
        <v/>
      </c>
      <c r="I360" s="29" t="n"/>
      <c r="J360" s="57" t="n"/>
      <c r="K360" s="25" t="n"/>
      <c r="L360" s="30" t="n"/>
      <c r="M360" s="58" t="n"/>
      <c r="N360" s="30" t="n"/>
      <c r="O360" s="24">
        <f>IFERROR(IF(OR(M360="",M360=0),0,H360*VALUE(SUBSTITUTE(M360&amp;"","$",""))),0)</f>
        <v/>
      </c>
    </row>
    <row r="361" outlineLevel="1" ht="16" customHeight="1">
      <c r="A361" s="13" t="n"/>
      <c r="B361" s="14" t="n"/>
      <c r="C361" s="15" t="n"/>
      <c r="D361" s="56" t="n"/>
      <c r="E361" s="56" t="n"/>
      <c r="F361" s="17" t="n"/>
      <c r="G361" s="18">
        <f>IF(D361="Tandem",10,IF(D361="TT",22,IF(D361="Quad",25,"")))</f>
        <v/>
      </c>
      <c r="H361" s="19">
        <f>IFERROR(IF(F361*G361=0,0,F361*G361),0)</f>
        <v/>
      </c>
      <c r="I361" s="20" t="n"/>
      <c r="J361" s="57" t="n"/>
      <c r="K361" s="14" t="n"/>
      <c r="L361" s="22" t="n"/>
      <c r="M361" s="58" t="n"/>
      <c r="N361" s="22" t="n"/>
      <c r="O361" s="24">
        <f>IFERROR(IF(OR(M361="",M361=0),0,H361*VALUE(SUBSTITUTE(M361&amp;"","$",""))),0)</f>
        <v/>
      </c>
    </row>
    <row r="362" outlineLevel="1" ht="16" customHeight="1">
      <c r="A362" s="13" t="n"/>
      <c r="B362" s="25" t="n"/>
      <c r="C362" s="26" t="n"/>
      <c r="D362" s="56" t="n"/>
      <c r="E362" s="56" t="n"/>
      <c r="F362" s="27" t="n"/>
      <c r="G362" s="18">
        <f>IF(D362="Tandem",10,IF(D362="TT",22,IF(D362="Quad",25,"")))</f>
        <v/>
      </c>
      <c r="H362" s="28">
        <f>IFERROR(IF(F362*G362=0,0,F362*G362),0)</f>
        <v/>
      </c>
      <c r="I362" s="29" t="n"/>
      <c r="J362" s="57" t="n"/>
      <c r="K362" s="25" t="n"/>
      <c r="L362" s="30" t="n"/>
      <c r="M362" s="58" t="n"/>
      <c r="N362" s="30" t="n"/>
      <c r="O362" s="24">
        <f>IFERROR(IF(OR(M362="",M362=0),0,H362*VALUE(SUBSTITUTE(M362&amp;"","$",""))),0)</f>
        <v/>
      </c>
    </row>
    <row r="363" outlineLevel="1" ht="16" customHeight="1">
      <c r="A363" s="13" t="n"/>
      <c r="B363" s="14" t="n"/>
      <c r="C363" s="15" t="n"/>
      <c r="D363" s="56" t="n"/>
      <c r="E363" s="56" t="n"/>
      <c r="F363" s="17" t="n"/>
      <c r="G363" s="18">
        <f>IF(D363="Tandem",10,IF(D363="TT",22,IF(D363="Quad",25,"")))</f>
        <v/>
      </c>
      <c r="H363" s="19">
        <f>IFERROR(IF(F363*G363=0,0,F363*G363),0)</f>
        <v/>
      </c>
      <c r="I363" s="20" t="n"/>
      <c r="J363" s="57" t="n"/>
      <c r="K363" s="14" t="n"/>
      <c r="L363" s="22" t="n"/>
      <c r="M363" s="58" t="n"/>
      <c r="N363" s="22" t="n"/>
      <c r="O363" s="24">
        <f>IFERROR(IF(OR(M363="",M363=0),0,H363*VALUE(SUBSTITUTE(M363&amp;"","$",""))),0)</f>
        <v/>
      </c>
    </row>
    <row r="364" outlineLevel="1" ht="16" customHeight="1">
      <c r="A364" s="13" t="n"/>
      <c r="B364" s="25" t="n"/>
      <c r="C364" s="26" t="n"/>
      <c r="D364" s="56" t="n"/>
      <c r="E364" s="56" t="n"/>
      <c r="F364" s="27" t="n"/>
      <c r="G364" s="18">
        <f>IF(D364="Tandem",10,IF(D364="TT",22,IF(D364="Quad",25,"")))</f>
        <v/>
      </c>
      <c r="H364" s="28">
        <f>IFERROR(IF(F364*G364=0,0,F364*G364),0)</f>
        <v/>
      </c>
      <c r="I364" s="29" t="n"/>
      <c r="J364" s="57" t="n"/>
      <c r="K364" s="25" t="n"/>
      <c r="L364" s="30" t="n"/>
      <c r="M364" s="58" t="n"/>
      <c r="N364" s="30" t="n"/>
      <c r="O364" s="24">
        <f>IFERROR(IF(OR(M364="",M364=0),0,H364*VALUE(SUBSTITUTE(M364&amp;"","$",""))),0)</f>
        <v/>
      </c>
    </row>
    <row r="365" outlineLevel="1" ht="16" customHeight="1">
      <c r="A365" s="13" t="n"/>
      <c r="B365" s="14" t="n"/>
      <c r="C365" s="15" t="n"/>
      <c r="D365" s="56" t="n"/>
      <c r="E365" s="56" t="n"/>
      <c r="F365" s="17" t="n"/>
      <c r="G365" s="18">
        <f>IF(D365="Tandem",10,IF(D365="TT",22,IF(D365="Quad",25,"")))</f>
        <v/>
      </c>
      <c r="H365" s="19">
        <f>IFERROR(IF(F365*G365=0,0,F365*G365),0)</f>
        <v/>
      </c>
      <c r="I365" s="20" t="n"/>
      <c r="J365" s="57" t="n"/>
      <c r="K365" s="14" t="n"/>
      <c r="L365" s="22" t="n"/>
      <c r="M365" s="58" t="n"/>
      <c r="N365" s="22" t="n"/>
      <c r="O365" s="24">
        <f>IFERROR(IF(OR(M365="",M365=0),0,H365*VALUE(SUBSTITUTE(M365&amp;"","$",""))),0)</f>
        <v/>
      </c>
    </row>
    <row r="366" outlineLevel="1" ht="16" customHeight="1">
      <c r="A366" s="13" t="n"/>
      <c r="B366" s="25" t="n"/>
      <c r="C366" s="26" t="n"/>
      <c r="D366" s="56" t="n"/>
      <c r="E366" s="56" t="n"/>
      <c r="F366" s="27" t="n"/>
      <c r="G366" s="18">
        <f>IF(D366="Tandem",10,IF(D366="TT",22,IF(D366="Quad",25,"")))</f>
        <v/>
      </c>
      <c r="H366" s="28">
        <f>IFERROR(IF(F366*G366=0,0,F366*G366),0)</f>
        <v/>
      </c>
      <c r="I366" s="29" t="n"/>
      <c r="J366" s="57" t="n"/>
      <c r="K366" s="25" t="n"/>
      <c r="L366" s="30" t="n"/>
      <c r="M366" s="58" t="n"/>
      <c r="N366" s="30" t="n"/>
      <c r="O366" s="24">
        <f>IFERROR(IF(OR(M366="",M366=0),0,H366*VALUE(SUBSTITUTE(M366&amp;"","$",""))),0)</f>
        <v/>
      </c>
    </row>
    <row r="367" outlineLevel="1" ht="16" customHeight="1">
      <c r="A367" s="13" t="n"/>
      <c r="B367" s="14" t="n"/>
      <c r="C367" s="15" t="n"/>
      <c r="D367" s="56" t="n"/>
      <c r="E367" s="56" t="n"/>
      <c r="F367" s="17" t="n"/>
      <c r="G367" s="18">
        <f>IF(D367="Tandem",10,IF(D367="TT",22,IF(D367="Quad",25,"")))</f>
        <v/>
      </c>
      <c r="H367" s="19">
        <f>IFERROR(IF(F367*G367=0,0,F367*G367),0)</f>
        <v/>
      </c>
      <c r="I367" s="20" t="n"/>
      <c r="J367" s="57" t="n"/>
      <c r="K367" s="14" t="n"/>
      <c r="L367" s="22" t="n"/>
      <c r="M367" s="58" t="n"/>
      <c r="N367" s="22" t="n"/>
      <c r="O367" s="24">
        <f>IFERROR(IF(OR(M367="",M367=0),0,H367*VALUE(SUBSTITUTE(M367&amp;"","$",""))),0)</f>
        <v/>
      </c>
    </row>
    <row r="368" outlineLevel="1" ht="16" customHeight="1">
      <c r="A368" s="13" t="n"/>
      <c r="B368" s="25" t="n"/>
      <c r="C368" s="26" t="n"/>
      <c r="D368" s="56" t="n"/>
      <c r="E368" s="56" t="n"/>
      <c r="F368" s="27" t="n"/>
      <c r="G368" s="18">
        <f>IF(D368="Tandem",10,IF(D368="TT",22,IF(D368="Quad",25,"")))</f>
        <v/>
      </c>
      <c r="H368" s="28">
        <f>IFERROR(IF(F368*G368=0,0,F368*G368),0)</f>
        <v/>
      </c>
      <c r="I368" s="29" t="n"/>
      <c r="J368" s="57" t="n"/>
      <c r="K368" s="25" t="n"/>
      <c r="L368" s="30" t="n"/>
      <c r="M368" s="58" t="n"/>
      <c r="N368" s="30" t="n"/>
      <c r="O368" s="24">
        <f>IFERROR(IF(OR(M368="",M368=0),0,H368*VALUE(SUBSTITUTE(M368&amp;"","$",""))),0)</f>
        <v/>
      </c>
    </row>
    <row r="369" outlineLevel="1" ht="16" customHeight="1">
      <c r="A369" s="13" t="n"/>
      <c r="B369" s="14" t="n"/>
      <c r="C369" s="15" t="n"/>
      <c r="D369" s="56" t="n"/>
      <c r="E369" s="56" t="n"/>
      <c r="F369" s="17" t="n"/>
      <c r="G369" s="18">
        <f>IF(D369="Tandem",10,IF(D369="TT",22,IF(D369="Quad",25,"")))</f>
        <v/>
      </c>
      <c r="H369" s="19">
        <f>IFERROR(IF(F369*G369=0,0,F369*G369),0)</f>
        <v/>
      </c>
      <c r="I369" s="20" t="n"/>
      <c r="J369" s="57" t="n"/>
      <c r="K369" s="14" t="n"/>
      <c r="L369" s="22" t="n"/>
      <c r="M369" s="58" t="n"/>
      <c r="N369" s="22" t="n"/>
      <c r="O369" s="24">
        <f>IFERROR(IF(OR(M369="",M369=0),0,H369*VALUE(SUBSTITUTE(M369&amp;"","$",""))),0)</f>
        <v/>
      </c>
    </row>
    <row r="370" outlineLevel="1" ht="16" customHeight="1">
      <c r="A370" s="13" t="n"/>
      <c r="B370" s="25" t="n"/>
      <c r="C370" s="26" t="n"/>
      <c r="D370" s="56" t="n"/>
      <c r="E370" s="56" t="n"/>
      <c r="F370" s="27" t="n"/>
      <c r="G370" s="18">
        <f>IF(D370="Tandem",10,IF(D370="TT",22,IF(D370="Quad",25,"")))</f>
        <v/>
      </c>
      <c r="H370" s="28">
        <f>IFERROR(IF(F370*G370=0,0,F370*G370),0)</f>
        <v/>
      </c>
      <c r="I370" s="29" t="n"/>
      <c r="J370" s="57" t="n"/>
      <c r="K370" s="25" t="n"/>
      <c r="L370" s="30" t="n"/>
      <c r="M370" s="58" t="n"/>
      <c r="N370" s="30" t="n"/>
      <c r="O370" s="24">
        <f>IFERROR(IF(OR(M370="",M370=0),0,H370*VALUE(SUBSTITUTE(M370&amp;"","$",""))),0)</f>
        <v/>
      </c>
    </row>
    <row r="371" outlineLevel="1" ht="16" customHeight="1">
      <c r="A371" s="13" t="n"/>
      <c r="B371" s="14" t="n"/>
      <c r="C371" s="15" t="n"/>
      <c r="D371" s="56" t="n"/>
      <c r="E371" s="56" t="n"/>
      <c r="F371" s="17" t="n"/>
      <c r="G371" s="18">
        <f>IF(D371="Tandem",10,IF(D371="TT",22,IF(D371="Quad",25,"")))</f>
        <v/>
      </c>
      <c r="H371" s="19">
        <f>IFERROR(IF(F371*G371=0,0,F371*G371),0)</f>
        <v/>
      </c>
      <c r="I371" s="20" t="n"/>
      <c r="J371" s="57" t="n"/>
      <c r="K371" s="14" t="n"/>
      <c r="L371" s="22" t="n"/>
      <c r="M371" s="58" t="n"/>
      <c r="N371" s="22" t="n"/>
      <c r="O371" s="24">
        <f>IFERROR(IF(OR(M371="",M371=0),0,H371*VALUE(SUBSTITUTE(M371&amp;"","$",""))),0)</f>
        <v/>
      </c>
    </row>
    <row r="372" outlineLevel="1" ht="16" customHeight="1">
      <c r="A372" s="13" t="n"/>
      <c r="B372" s="25" t="n"/>
      <c r="C372" s="26" t="n"/>
      <c r="D372" s="56" t="n"/>
      <c r="E372" s="56" t="n"/>
      <c r="F372" s="27" t="n"/>
      <c r="G372" s="18">
        <f>IF(D372="Tandem",10,IF(D372="TT",22,IF(D372="Quad",25,"")))</f>
        <v/>
      </c>
      <c r="H372" s="28">
        <f>IFERROR(IF(F372*G372=0,0,F372*G372),0)</f>
        <v/>
      </c>
      <c r="I372" s="29" t="n"/>
      <c r="J372" s="57" t="n"/>
      <c r="K372" s="25" t="n"/>
      <c r="L372" s="30" t="n"/>
      <c r="M372" s="58" t="n"/>
      <c r="N372" s="30" t="n"/>
      <c r="O372" s="24">
        <f>IFERROR(IF(OR(M372="",M372=0),0,H372*VALUE(SUBSTITUTE(M372&amp;"","$",""))),0)</f>
        <v/>
      </c>
    </row>
    <row r="373" outlineLevel="1" ht="20" customHeight="1">
      <c r="A373" s="59" t="inlineStr">
        <is>
          <t>Daily Notes:</t>
        </is>
      </c>
      <c r="B373" s="54" t="n"/>
      <c r="C373" s="54" t="n"/>
      <c r="D373" s="54" t="n"/>
      <c r="E373" s="54" t="n"/>
      <c r="F373" s="54" t="n"/>
      <c r="G373" s="54" t="n"/>
      <c r="H373" s="54" t="n"/>
      <c r="I373" s="54" t="n"/>
      <c r="J373" s="54" t="n"/>
      <c r="K373" s="54" t="n"/>
      <c r="L373" s="54" t="n"/>
      <c r="M373" s="54" t="n"/>
      <c r="N373" s="50" t="n"/>
      <c r="O373" s="60" t="n"/>
    </row>
    <row r="374" outlineLevel="1" ht="18" customHeight="1">
      <c r="A374" s="32" t="inlineStr">
        <is>
          <t>DAILY TOTAL</t>
        </is>
      </c>
      <c r="B374" s="54" t="n"/>
      <c r="C374" s="54" t="n"/>
      <c r="D374" s="54" t="n"/>
      <c r="E374" s="54" t="n"/>
      <c r="F374" s="54" t="n"/>
      <c r="G374" s="50" t="n"/>
      <c r="H374" s="34">
        <f>SUM(H343:H372)</f>
        <v/>
      </c>
      <c r="I374" s="35">
        <f>SUM(I343:I372)</f>
        <v/>
      </c>
      <c r="J374" s="61" t="n"/>
      <c r="K374" s="61" t="n"/>
      <c r="L374" s="61" t="n"/>
      <c r="M374" s="36">
        <f>SUM(O343:O372)</f>
        <v/>
      </c>
      <c r="N374" s="61" t="n"/>
      <c r="O374" s="62" t="n"/>
    </row>
    <row r="375" outlineLevel="1" ht="18" customHeight="1">
      <c r="A375" s="2" t="inlineStr">
        <is>
          <t>▶ RUNNING TOTAL</t>
        </is>
      </c>
      <c r="B375" s="54" t="n"/>
      <c r="C375" s="54" t="n"/>
      <c r="D375" s="54" t="n"/>
      <c r="E375" s="54" t="n"/>
      <c r="F375" s="54" t="n"/>
      <c r="G375" s="50" t="n"/>
      <c r="H375" s="37">
        <f>H50+H86+H122+H158+H194+H230+H266+H302+H338+H374</f>
        <v/>
      </c>
      <c r="I375" s="63" t="n"/>
      <c r="J375" s="63" t="n"/>
      <c r="K375" s="63" t="n"/>
      <c r="L375" s="63" t="n"/>
      <c r="M375" s="38">
        <f>M50+M86+M122+M158+M194+M230+M266+M302+M338+M374</f>
        <v/>
      </c>
      <c r="N375" s="63" t="n"/>
      <c r="O375" s="64" t="n"/>
    </row>
    <row r="376" outlineLevel="1" ht="8" customHeight="1"/>
    <row r="377" ht="22" customHeight="1">
      <c r="A377" s="55" t="inlineStr">
        <is>
          <t>DAY 11</t>
        </is>
      </c>
      <c r="B377" s="54" t="n"/>
      <c r="C377" s="54" t="n"/>
      <c r="D377" s="54" t="n"/>
      <c r="E377" s="54" t="n"/>
      <c r="F377" s="54" t="n"/>
      <c r="G377" s="54" t="n"/>
      <c r="H377" s="54" t="n"/>
      <c r="I377" s="54" t="n"/>
      <c r="J377" s="54" t="n"/>
      <c r="K377" s="54" t="n"/>
      <c r="L377" s="54" t="n"/>
      <c r="M377" s="54" t="n"/>
      <c r="N377" s="50" t="n"/>
    </row>
    <row r="378" hidden="1" outlineLevel="1" ht="28" customHeight="1">
      <c r="A378" s="12" t="inlineStr">
        <is>
          <t>Date</t>
        </is>
      </c>
      <c r="B378" s="12" t="inlineStr">
        <is>
          <t>Cartage Company</t>
        </is>
      </c>
      <c r="C378" s="12" t="inlineStr">
        <is>
          <t>Truck Rego</t>
        </is>
      </c>
      <c r="D378" s="12" t="inlineStr">
        <is>
          <t>Truck Type</t>
        </is>
      </c>
      <c r="E378" s="12" t="inlineStr">
        <is>
          <t>Exp / Imp</t>
        </is>
      </c>
      <c r="F378" s="12" t="inlineStr">
        <is>
          <t>Loads</t>
        </is>
      </c>
      <c r="G378" s="12" t="inlineStr">
        <is>
          <t>m³ / Load</t>
        </is>
      </c>
      <c r="H378" s="12" t="inlineStr">
        <is>
          <t>Total m³</t>
        </is>
      </c>
      <c r="I378" s="12" t="inlineStr">
        <is>
          <t>Hours</t>
        </is>
      </c>
      <c r="J378" s="12" t="inlineStr">
        <is>
          <t>Material</t>
        </is>
      </c>
      <c r="K378" s="12" t="inlineStr">
        <is>
          <t>Tip Site</t>
        </is>
      </c>
      <c r="L378" s="12" t="inlineStr">
        <is>
          <t>Docket #</t>
        </is>
      </c>
      <c r="M378" s="12" t="inlineStr">
        <is>
          <t>Rate Paid ($/m³)</t>
        </is>
      </c>
      <c r="N378" s="12" t="inlineStr">
        <is>
          <t>Invoice #</t>
        </is>
      </c>
    </row>
    <row r="379" hidden="1" outlineLevel="1" ht="16" customHeight="1">
      <c r="A379" s="13" t="n"/>
      <c r="B379" s="14" t="n"/>
      <c r="C379" s="15" t="n"/>
      <c r="D379" s="56" t="n"/>
      <c r="E379" s="56" t="n"/>
      <c r="F379" s="17" t="n"/>
      <c r="G379" s="18">
        <f>IF(D379="Tandem",10,IF(D379="TT",22,IF(D379="Quad",25,"")))</f>
        <v/>
      </c>
      <c r="H379" s="19">
        <f>IFERROR(IF(F379*G379=0,0,F379*G379),0)</f>
        <v/>
      </c>
      <c r="I379" s="20" t="n"/>
      <c r="J379" s="57" t="n"/>
      <c r="K379" s="14" t="n"/>
      <c r="L379" s="22" t="n"/>
      <c r="M379" s="58" t="n"/>
      <c r="N379" s="22" t="n"/>
      <c r="O379" s="24">
        <f>IFERROR(IF(OR(M379="",M379=0),0,H379*VALUE(SUBSTITUTE(M379&amp;"","$",""))),0)</f>
        <v/>
      </c>
    </row>
    <row r="380" hidden="1" outlineLevel="1" ht="16" customHeight="1">
      <c r="A380" s="13" t="n"/>
      <c r="B380" s="25" t="n"/>
      <c r="C380" s="26" t="n"/>
      <c r="D380" s="56" t="n"/>
      <c r="E380" s="56" t="n"/>
      <c r="F380" s="27" t="n"/>
      <c r="G380" s="18">
        <f>IF(D380="Tandem",10,IF(D380="TT",22,IF(D380="Quad",25,"")))</f>
        <v/>
      </c>
      <c r="H380" s="28">
        <f>IFERROR(IF(F380*G380=0,0,F380*G380),0)</f>
        <v/>
      </c>
      <c r="I380" s="29" t="n"/>
      <c r="J380" s="57" t="n"/>
      <c r="K380" s="25" t="n"/>
      <c r="L380" s="30" t="n"/>
      <c r="M380" s="58" t="n"/>
      <c r="N380" s="30" t="n"/>
      <c r="O380" s="24">
        <f>IFERROR(IF(OR(M380="",M380=0),0,H380*VALUE(SUBSTITUTE(M380&amp;"","$",""))),0)</f>
        <v/>
      </c>
    </row>
    <row r="381" hidden="1" outlineLevel="1" ht="16" customHeight="1">
      <c r="A381" s="13" t="n"/>
      <c r="B381" s="14" t="n"/>
      <c r="C381" s="15" t="n"/>
      <c r="D381" s="56" t="n"/>
      <c r="E381" s="56" t="n"/>
      <c r="F381" s="17" t="n"/>
      <c r="G381" s="18">
        <f>IF(D381="Tandem",10,IF(D381="TT",22,IF(D381="Quad",25,"")))</f>
        <v/>
      </c>
      <c r="H381" s="19">
        <f>IFERROR(IF(F381*G381=0,0,F381*G381),0)</f>
        <v/>
      </c>
      <c r="I381" s="20" t="n"/>
      <c r="J381" s="57" t="n"/>
      <c r="K381" s="14" t="n"/>
      <c r="L381" s="22" t="n"/>
      <c r="M381" s="58" t="n"/>
      <c r="N381" s="22" t="n"/>
      <c r="O381" s="24">
        <f>IFERROR(IF(OR(M381="",M381=0),0,H381*VALUE(SUBSTITUTE(M381&amp;"","$",""))),0)</f>
        <v/>
      </c>
    </row>
    <row r="382" hidden="1" outlineLevel="1" ht="16" customHeight="1">
      <c r="A382" s="13" t="n"/>
      <c r="B382" s="25" t="n"/>
      <c r="C382" s="26" t="n"/>
      <c r="D382" s="56" t="n"/>
      <c r="E382" s="56" t="n"/>
      <c r="F382" s="27" t="n"/>
      <c r="G382" s="18">
        <f>IF(D382="Tandem",10,IF(D382="TT",22,IF(D382="Quad",25,"")))</f>
        <v/>
      </c>
      <c r="H382" s="28">
        <f>IFERROR(IF(F382*G382=0,0,F382*G382),0)</f>
        <v/>
      </c>
      <c r="I382" s="29" t="n"/>
      <c r="J382" s="57" t="n"/>
      <c r="K382" s="25" t="n"/>
      <c r="L382" s="30" t="n"/>
      <c r="M382" s="58" t="n"/>
      <c r="N382" s="30" t="n"/>
      <c r="O382" s="24">
        <f>IFERROR(IF(OR(M382="",M382=0),0,H382*VALUE(SUBSTITUTE(M382&amp;"","$",""))),0)</f>
        <v/>
      </c>
    </row>
    <row r="383" hidden="1" outlineLevel="1" ht="16" customHeight="1">
      <c r="A383" s="13" t="n"/>
      <c r="B383" s="14" t="n"/>
      <c r="C383" s="15" t="n"/>
      <c r="D383" s="56" t="n"/>
      <c r="E383" s="56" t="n"/>
      <c r="F383" s="17" t="n"/>
      <c r="G383" s="18">
        <f>IF(D383="Tandem",10,IF(D383="TT",22,IF(D383="Quad",25,"")))</f>
        <v/>
      </c>
      <c r="H383" s="19">
        <f>IFERROR(IF(F383*G383=0,0,F383*G383),0)</f>
        <v/>
      </c>
      <c r="I383" s="20" t="n"/>
      <c r="J383" s="57" t="n"/>
      <c r="K383" s="14" t="n"/>
      <c r="L383" s="22" t="n"/>
      <c r="M383" s="58" t="n"/>
      <c r="N383" s="22" t="n"/>
      <c r="O383" s="24">
        <f>IFERROR(IF(OR(M383="",M383=0),0,H383*VALUE(SUBSTITUTE(M383&amp;"","$",""))),0)</f>
        <v/>
      </c>
    </row>
    <row r="384" hidden="1" outlineLevel="1" ht="16" customHeight="1">
      <c r="A384" s="13" t="n"/>
      <c r="B384" s="25" t="n"/>
      <c r="C384" s="26" t="n"/>
      <c r="D384" s="56" t="n"/>
      <c r="E384" s="56" t="n"/>
      <c r="F384" s="27" t="n"/>
      <c r="G384" s="18">
        <f>IF(D384="Tandem",10,IF(D384="TT",22,IF(D384="Quad",25,"")))</f>
        <v/>
      </c>
      <c r="H384" s="28">
        <f>IFERROR(IF(F384*G384=0,0,F384*G384),0)</f>
        <v/>
      </c>
      <c r="I384" s="29" t="n"/>
      <c r="J384" s="57" t="n"/>
      <c r="K384" s="25" t="n"/>
      <c r="L384" s="30" t="n"/>
      <c r="M384" s="58" t="n"/>
      <c r="N384" s="30" t="n"/>
      <c r="O384" s="24">
        <f>IFERROR(IF(OR(M384="",M384=0),0,H384*VALUE(SUBSTITUTE(M384&amp;"","$",""))),0)</f>
        <v/>
      </c>
    </row>
    <row r="385" hidden="1" outlineLevel="1" ht="16" customHeight="1">
      <c r="A385" s="13" t="n"/>
      <c r="B385" s="14" t="n"/>
      <c r="C385" s="15" t="n"/>
      <c r="D385" s="56" t="n"/>
      <c r="E385" s="56" t="n"/>
      <c r="F385" s="17" t="n"/>
      <c r="G385" s="18">
        <f>IF(D385="Tandem",10,IF(D385="TT",22,IF(D385="Quad",25,"")))</f>
        <v/>
      </c>
      <c r="H385" s="19">
        <f>IFERROR(IF(F385*G385=0,0,F385*G385),0)</f>
        <v/>
      </c>
      <c r="I385" s="20" t="n"/>
      <c r="J385" s="57" t="n"/>
      <c r="K385" s="14" t="n"/>
      <c r="L385" s="22" t="n"/>
      <c r="M385" s="58" t="n"/>
      <c r="N385" s="22" t="n"/>
      <c r="O385" s="24">
        <f>IFERROR(IF(OR(M385="",M385=0),0,H385*VALUE(SUBSTITUTE(M385&amp;"","$",""))),0)</f>
        <v/>
      </c>
    </row>
    <row r="386" hidden="1" outlineLevel="1" ht="16" customHeight="1">
      <c r="A386" s="13" t="n"/>
      <c r="B386" s="25" t="n"/>
      <c r="C386" s="26" t="n"/>
      <c r="D386" s="56" t="n"/>
      <c r="E386" s="56" t="n"/>
      <c r="F386" s="27" t="n"/>
      <c r="G386" s="18">
        <f>IF(D386="Tandem",10,IF(D386="TT",22,IF(D386="Quad",25,"")))</f>
        <v/>
      </c>
      <c r="H386" s="28">
        <f>IFERROR(IF(F386*G386=0,0,F386*G386),0)</f>
        <v/>
      </c>
      <c r="I386" s="29" t="n"/>
      <c r="J386" s="57" t="n"/>
      <c r="K386" s="25" t="n"/>
      <c r="L386" s="30" t="n"/>
      <c r="M386" s="58" t="n"/>
      <c r="N386" s="30" t="n"/>
      <c r="O386" s="24">
        <f>IFERROR(IF(OR(M386="",M386=0),0,H386*VALUE(SUBSTITUTE(M386&amp;"","$",""))),0)</f>
        <v/>
      </c>
    </row>
    <row r="387" hidden="1" outlineLevel="1" ht="16" customHeight="1">
      <c r="A387" s="13" t="n"/>
      <c r="B387" s="14" t="n"/>
      <c r="C387" s="15" t="n"/>
      <c r="D387" s="56" t="n"/>
      <c r="E387" s="56" t="n"/>
      <c r="F387" s="17" t="n"/>
      <c r="G387" s="18">
        <f>IF(D387="Tandem",10,IF(D387="TT",22,IF(D387="Quad",25,"")))</f>
        <v/>
      </c>
      <c r="H387" s="19">
        <f>IFERROR(IF(F387*G387=0,0,F387*G387),0)</f>
        <v/>
      </c>
      <c r="I387" s="20" t="n"/>
      <c r="J387" s="57" t="n"/>
      <c r="K387" s="14" t="n"/>
      <c r="L387" s="22" t="n"/>
      <c r="M387" s="58" t="n"/>
      <c r="N387" s="22" t="n"/>
      <c r="O387" s="24">
        <f>IFERROR(IF(OR(M387="",M387=0),0,H387*VALUE(SUBSTITUTE(M387&amp;"","$",""))),0)</f>
        <v/>
      </c>
    </row>
    <row r="388" hidden="1" outlineLevel="1" ht="16" customHeight="1">
      <c r="A388" s="13" t="n"/>
      <c r="B388" s="25" t="n"/>
      <c r="C388" s="26" t="n"/>
      <c r="D388" s="56" t="n"/>
      <c r="E388" s="56" t="n"/>
      <c r="F388" s="27" t="n"/>
      <c r="G388" s="18">
        <f>IF(D388="Tandem",10,IF(D388="TT",22,IF(D388="Quad",25,"")))</f>
        <v/>
      </c>
      <c r="H388" s="28">
        <f>IFERROR(IF(F388*G388=0,0,F388*G388),0)</f>
        <v/>
      </c>
      <c r="I388" s="29" t="n"/>
      <c r="J388" s="57" t="n"/>
      <c r="K388" s="25" t="n"/>
      <c r="L388" s="30" t="n"/>
      <c r="M388" s="58" t="n"/>
      <c r="N388" s="30" t="n"/>
      <c r="O388" s="24">
        <f>IFERROR(IF(OR(M388="",M388=0),0,H388*VALUE(SUBSTITUTE(M388&amp;"","$",""))),0)</f>
        <v/>
      </c>
    </row>
    <row r="389" hidden="1" outlineLevel="1" ht="16" customHeight="1">
      <c r="A389" s="13" t="n"/>
      <c r="B389" s="14" t="n"/>
      <c r="C389" s="15" t="n"/>
      <c r="D389" s="56" t="n"/>
      <c r="E389" s="56" t="n"/>
      <c r="F389" s="17" t="n"/>
      <c r="G389" s="18">
        <f>IF(D389="Tandem",10,IF(D389="TT",22,IF(D389="Quad",25,"")))</f>
        <v/>
      </c>
      <c r="H389" s="19">
        <f>IFERROR(IF(F389*G389=0,0,F389*G389),0)</f>
        <v/>
      </c>
      <c r="I389" s="20" t="n"/>
      <c r="J389" s="57" t="n"/>
      <c r="K389" s="14" t="n"/>
      <c r="L389" s="22" t="n"/>
      <c r="M389" s="58" t="n"/>
      <c r="N389" s="22" t="n"/>
      <c r="O389" s="24">
        <f>IFERROR(IF(OR(M389="",M389=0),0,H389*VALUE(SUBSTITUTE(M389&amp;"","$",""))),0)</f>
        <v/>
      </c>
    </row>
    <row r="390" hidden="1" outlineLevel="1" ht="16" customHeight="1">
      <c r="A390" s="13" t="n"/>
      <c r="B390" s="25" t="n"/>
      <c r="C390" s="26" t="n"/>
      <c r="D390" s="56" t="n"/>
      <c r="E390" s="56" t="n"/>
      <c r="F390" s="27" t="n"/>
      <c r="G390" s="18">
        <f>IF(D390="Tandem",10,IF(D390="TT",22,IF(D390="Quad",25,"")))</f>
        <v/>
      </c>
      <c r="H390" s="28">
        <f>IFERROR(IF(F390*G390=0,0,F390*G390),0)</f>
        <v/>
      </c>
      <c r="I390" s="29" t="n"/>
      <c r="J390" s="57" t="n"/>
      <c r="K390" s="25" t="n"/>
      <c r="L390" s="30" t="n"/>
      <c r="M390" s="58" t="n"/>
      <c r="N390" s="30" t="n"/>
      <c r="O390" s="24">
        <f>IFERROR(IF(OR(M390="",M390=0),0,H390*VALUE(SUBSTITUTE(M390&amp;"","$",""))),0)</f>
        <v/>
      </c>
    </row>
    <row r="391" hidden="1" outlineLevel="1" ht="16" customHeight="1">
      <c r="A391" s="13" t="n"/>
      <c r="B391" s="14" t="n"/>
      <c r="C391" s="15" t="n"/>
      <c r="D391" s="56" t="n"/>
      <c r="E391" s="56" t="n"/>
      <c r="F391" s="17" t="n"/>
      <c r="G391" s="18">
        <f>IF(D391="Tandem",10,IF(D391="TT",22,IF(D391="Quad",25,"")))</f>
        <v/>
      </c>
      <c r="H391" s="19">
        <f>IFERROR(IF(F391*G391=0,0,F391*G391),0)</f>
        <v/>
      </c>
      <c r="I391" s="20" t="n"/>
      <c r="J391" s="57" t="n"/>
      <c r="K391" s="14" t="n"/>
      <c r="L391" s="22" t="n"/>
      <c r="M391" s="58" t="n"/>
      <c r="N391" s="22" t="n"/>
      <c r="O391" s="24">
        <f>IFERROR(IF(OR(M391="",M391=0),0,H391*VALUE(SUBSTITUTE(M391&amp;"","$",""))),0)</f>
        <v/>
      </c>
    </row>
    <row r="392" hidden="1" outlineLevel="1" ht="16" customHeight="1">
      <c r="A392" s="13" t="n"/>
      <c r="B392" s="25" t="n"/>
      <c r="C392" s="26" t="n"/>
      <c r="D392" s="56" t="n"/>
      <c r="E392" s="56" t="n"/>
      <c r="F392" s="27" t="n"/>
      <c r="G392" s="18">
        <f>IF(D392="Tandem",10,IF(D392="TT",22,IF(D392="Quad",25,"")))</f>
        <v/>
      </c>
      <c r="H392" s="28">
        <f>IFERROR(IF(F392*G392=0,0,F392*G392),0)</f>
        <v/>
      </c>
      <c r="I392" s="29" t="n"/>
      <c r="J392" s="57" t="n"/>
      <c r="K392" s="25" t="n"/>
      <c r="L392" s="30" t="n"/>
      <c r="M392" s="58" t="n"/>
      <c r="N392" s="30" t="n"/>
      <c r="O392" s="24">
        <f>IFERROR(IF(OR(M392="",M392=0),0,H392*VALUE(SUBSTITUTE(M392&amp;"","$",""))),0)</f>
        <v/>
      </c>
    </row>
    <row r="393" hidden="1" outlineLevel="1" ht="16" customHeight="1">
      <c r="A393" s="13" t="n"/>
      <c r="B393" s="14" t="n"/>
      <c r="C393" s="15" t="n"/>
      <c r="D393" s="56" t="n"/>
      <c r="E393" s="56" t="n"/>
      <c r="F393" s="17" t="n"/>
      <c r="G393" s="18">
        <f>IF(D393="Tandem",10,IF(D393="TT",22,IF(D393="Quad",25,"")))</f>
        <v/>
      </c>
      <c r="H393" s="19">
        <f>IFERROR(IF(F393*G393=0,0,F393*G393),0)</f>
        <v/>
      </c>
      <c r="I393" s="20" t="n"/>
      <c r="J393" s="57" t="n"/>
      <c r="K393" s="14" t="n"/>
      <c r="L393" s="22" t="n"/>
      <c r="M393" s="58" t="n"/>
      <c r="N393" s="22" t="n"/>
      <c r="O393" s="24">
        <f>IFERROR(IF(OR(M393="",M393=0),0,H393*VALUE(SUBSTITUTE(M393&amp;"","$",""))),0)</f>
        <v/>
      </c>
    </row>
    <row r="394" hidden="1" outlineLevel="1" ht="16" customHeight="1">
      <c r="A394" s="13" t="n"/>
      <c r="B394" s="25" t="n"/>
      <c r="C394" s="26" t="n"/>
      <c r="D394" s="56" t="n"/>
      <c r="E394" s="56" t="n"/>
      <c r="F394" s="27" t="n"/>
      <c r="G394" s="18">
        <f>IF(D394="Tandem",10,IF(D394="TT",22,IF(D394="Quad",25,"")))</f>
        <v/>
      </c>
      <c r="H394" s="28">
        <f>IFERROR(IF(F394*G394=0,0,F394*G394),0)</f>
        <v/>
      </c>
      <c r="I394" s="29" t="n"/>
      <c r="J394" s="57" t="n"/>
      <c r="K394" s="25" t="n"/>
      <c r="L394" s="30" t="n"/>
      <c r="M394" s="58" t="n"/>
      <c r="N394" s="30" t="n"/>
      <c r="O394" s="24">
        <f>IFERROR(IF(OR(M394="",M394=0),0,H394*VALUE(SUBSTITUTE(M394&amp;"","$",""))),0)</f>
        <v/>
      </c>
    </row>
    <row r="395" hidden="1" outlineLevel="1" ht="16" customHeight="1">
      <c r="A395" s="13" t="n"/>
      <c r="B395" s="14" t="n"/>
      <c r="C395" s="15" t="n"/>
      <c r="D395" s="56" t="n"/>
      <c r="E395" s="56" t="n"/>
      <c r="F395" s="17" t="n"/>
      <c r="G395" s="18">
        <f>IF(D395="Tandem",10,IF(D395="TT",22,IF(D395="Quad",25,"")))</f>
        <v/>
      </c>
      <c r="H395" s="19">
        <f>IFERROR(IF(F395*G395=0,0,F395*G395),0)</f>
        <v/>
      </c>
      <c r="I395" s="20" t="n"/>
      <c r="J395" s="57" t="n"/>
      <c r="K395" s="14" t="n"/>
      <c r="L395" s="22" t="n"/>
      <c r="M395" s="58" t="n"/>
      <c r="N395" s="22" t="n"/>
      <c r="O395" s="24">
        <f>IFERROR(IF(OR(M395="",M395=0),0,H395*VALUE(SUBSTITUTE(M395&amp;"","$",""))),0)</f>
        <v/>
      </c>
    </row>
    <row r="396" hidden="1" outlineLevel="1" ht="16" customHeight="1">
      <c r="A396" s="13" t="n"/>
      <c r="B396" s="25" t="n"/>
      <c r="C396" s="26" t="n"/>
      <c r="D396" s="56" t="n"/>
      <c r="E396" s="56" t="n"/>
      <c r="F396" s="27" t="n"/>
      <c r="G396" s="18">
        <f>IF(D396="Tandem",10,IF(D396="TT",22,IF(D396="Quad",25,"")))</f>
        <v/>
      </c>
      <c r="H396" s="28">
        <f>IFERROR(IF(F396*G396=0,0,F396*G396),0)</f>
        <v/>
      </c>
      <c r="I396" s="29" t="n"/>
      <c r="J396" s="57" t="n"/>
      <c r="K396" s="25" t="n"/>
      <c r="L396" s="30" t="n"/>
      <c r="M396" s="58" t="n"/>
      <c r="N396" s="30" t="n"/>
      <c r="O396" s="24">
        <f>IFERROR(IF(OR(M396="",M396=0),0,H396*VALUE(SUBSTITUTE(M396&amp;"","$",""))),0)</f>
        <v/>
      </c>
    </row>
    <row r="397" hidden="1" outlineLevel="1" ht="16" customHeight="1">
      <c r="A397" s="13" t="n"/>
      <c r="B397" s="14" t="n"/>
      <c r="C397" s="15" t="n"/>
      <c r="D397" s="56" t="n"/>
      <c r="E397" s="56" t="n"/>
      <c r="F397" s="17" t="n"/>
      <c r="G397" s="18">
        <f>IF(D397="Tandem",10,IF(D397="TT",22,IF(D397="Quad",25,"")))</f>
        <v/>
      </c>
      <c r="H397" s="19">
        <f>IFERROR(IF(F397*G397=0,0,F397*G397),0)</f>
        <v/>
      </c>
      <c r="I397" s="20" t="n"/>
      <c r="J397" s="57" t="n"/>
      <c r="K397" s="14" t="n"/>
      <c r="L397" s="22" t="n"/>
      <c r="M397" s="58" t="n"/>
      <c r="N397" s="22" t="n"/>
      <c r="O397" s="24">
        <f>IFERROR(IF(OR(M397="",M397=0),0,H397*VALUE(SUBSTITUTE(M397&amp;"","$",""))),0)</f>
        <v/>
      </c>
    </row>
    <row r="398" hidden="1" outlineLevel="1" ht="16" customHeight="1">
      <c r="A398" s="13" t="n"/>
      <c r="B398" s="25" t="n"/>
      <c r="C398" s="26" t="n"/>
      <c r="D398" s="56" t="n"/>
      <c r="E398" s="56" t="n"/>
      <c r="F398" s="27" t="n"/>
      <c r="G398" s="18">
        <f>IF(D398="Tandem",10,IF(D398="TT",22,IF(D398="Quad",25,"")))</f>
        <v/>
      </c>
      <c r="H398" s="28">
        <f>IFERROR(IF(F398*G398=0,0,F398*G398),0)</f>
        <v/>
      </c>
      <c r="I398" s="29" t="n"/>
      <c r="J398" s="57" t="n"/>
      <c r="K398" s="25" t="n"/>
      <c r="L398" s="30" t="n"/>
      <c r="M398" s="58" t="n"/>
      <c r="N398" s="30" t="n"/>
      <c r="O398" s="24">
        <f>IFERROR(IF(OR(M398="",M398=0),0,H398*VALUE(SUBSTITUTE(M398&amp;"","$",""))),0)</f>
        <v/>
      </c>
    </row>
    <row r="399" hidden="1" outlineLevel="1" ht="16" customHeight="1">
      <c r="A399" s="13" t="n"/>
      <c r="B399" s="14" t="n"/>
      <c r="C399" s="15" t="n"/>
      <c r="D399" s="56" t="n"/>
      <c r="E399" s="56" t="n"/>
      <c r="F399" s="17" t="n"/>
      <c r="G399" s="18">
        <f>IF(D399="Tandem",10,IF(D399="TT",22,IF(D399="Quad",25,"")))</f>
        <v/>
      </c>
      <c r="H399" s="19">
        <f>IFERROR(IF(F399*G399=0,0,F399*G399),0)</f>
        <v/>
      </c>
      <c r="I399" s="20" t="n"/>
      <c r="J399" s="57" t="n"/>
      <c r="K399" s="14" t="n"/>
      <c r="L399" s="22" t="n"/>
      <c r="M399" s="58" t="n"/>
      <c r="N399" s="22" t="n"/>
      <c r="O399" s="24">
        <f>IFERROR(IF(OR(M399="",M399=0),0,H399*VALUE(SUBSTITUTE(M399&amp;"","$",""))),0)</f>
        <v/>
      </c>
    </row>
    <row r="400" hidden="1" outlineLevel="1" ht="16" customHeight="1">
      <c r="A400" s="13" t="n"/>
      <c r="B400" s="25" t="n"/>
      <c r="C400" s="26" t="n"/>
      <c r="D400" s="56" t="n"/>
      <c r="E400" s="56" t="n"/>
      <c r="F400" s="27" t="n"/>
      <c r="G400" s="18">
        <f>IF(D400="Tandem",10,IF(D400="TT",22,IF(D400="Quad",25,"")))</f>
        <v/>
      </c>
      <c r="H400" s="28">
        <f>IFERROR(IF(F400*G400=0,0,F400*G400),0)</f>
        <v/>
      </c>
      <c r="I400" s="29" t="n"/>
      <c r="J400" s="57" t="n"/>
      <c r="K400" s="25" t="n"/>
      <c r="L400" s="30" t="n"/>
      <c r="M400" s="58" t="n"/>
      <c r="N400" s="30" t="n"/>
      <c r="O400" s="24">
        <f>IFERROR(IF(OR(M400="",M400=0),0,H400*VALUE(SUBSTITUTE(M400&amp;"","$",""))),0)</f>
        <v/>
      </c>
    </row>
    <row r="401" hidden="1" outlineLevel="1" ht="16" customHeight="1">
      <c r="A401" s="13" t="n"/>
      <c r="B401" s="14" t="n"/>
      <c r="C401" s="15" t="n"/>
      <c r="D401" s="56" t="n"/>
      <c r="E401" s="56" t="n"/>
      <c r="F401" s="17" t="n"/>
      <c r="G401" s="18">
        <f>IF(D401="Tandem",10,IF(D401="TT",22,IF(D401="Quad",25,"")))</f>
        <v/>
      </c>
      <c r="H401" s="19">
        <f>IFERROR(IF(F401*G401=0,0,F401*G401),0)</f>
        <v/>
      </c>
      <c r="I401" s="20" t="n"/>
      <c r="J401" s="57" t="n"/>
      <c r="K401" s="14" t="n"/>
      <c r="L401" s="22" t="n"/>
      <c r="M401" s="58" t="n"/>
      <c r="N401" s="22" t="n"/>
      <c r="O401" s="24">
        <f>IFERROR(IF(OR(M401="",M401=0),0,H401*VALUE(SUBSTITUTE(M401&amp;"","$",""))),0)</f>
        <v/>
      </c>
    </row>
    <row r="402" hidden="1" outlineLevel="1" ht="16" customHeight="1">
      <c r="A402" s="13" t="n"/>
      <c r="B402" s="25" t="n"/>
      <c r="C402" s="26" t="n"/>
      <c r="D402" s="56" t="n"/>
      <c r="E402" s="56" t="n"/>
      <c r="F402" s="27" t="n"/>
      <c r="G402" s="18">
        <f>IF(D402="Tandem",10,IF(D402="TT",22,IF(D402="Quad",25,"")))</f>
        <v/>
      </c>
      <c r="H402" s="28">
        <f>IFERROR(IF(F402*G402=0,0,F402*G402),0)</f>
        <v/>
      </c>
      <c r="I402" s="29" t="n"/>
      <c r="J402" s="57" t="n"/>
      <c r="K402" s="25" t="n"/>
      <c r="L402" s="30" t="n"/>
      <c r="M402" s="58" t="n"/>
      <c r="N402" s="30" t="n"/>
      <c r="O402" s="24">
        <f>IFERROR(IF(OR(M402="",M402=0),0,H402*VALUE(SUBSTITUTE(M402&amp;"","$",""))),0)</f>
        <v/>
      </c>
    </row>
    <row r="403" hidden="1" outlineLevel="1" ht="16" customHeight="1">
      <c r="A403" s="13" t="n"/>
      <c r="B403" s="14" t="n"/>
      <c r="C403" s="15" t="n"/>
      <c r="D403" s="56" t="n"/>
      <c r="E403" s="56" t="n"/>
      <c r="F403" s="17" t="n"/>
      <c r="G403" s="18">
        <f>IF(D403="Tandem",10,IF(D403="TT",22,IF(D403="Quad",25,"")))</f>
        <v/>
      </c>
      <c r="H403" s="19">
        <f>IFERROR(IF(F403*G403=0,0,F403*G403),0)</f>
        <v/>
      </c>
      <c r="I403" s="20" t="n"/>
      <c r="J403" s="57" t="n"/>
      <c r="K403" s="14" t="n"/>
      <c r="L403" s="22" t="n"/>
      <c r="M403" s="58" t="n"/>
      <c r="N403" s="22" t="n"/>
      <c r="O403" s="24">
        <f>IFERROR(IF(OR(M403="",M403=0),0,H403*VALUE(SUBSTITUTE(M403&amp;"","$",""))),0)</f>
        <v/>
      </c>
    </row>
    <row r="404" hidden="1" outlineLevel="1" ht="16" customHeight="1">
      <c r="A404" s="13" t="n"/>
      <c r="B404" s="25" t="n"/>
      <c r="C404" s="26" t="n"/>
      <c r="D404" s="56" t="n"/>
      <c r="E404" s="56" t="n"/>
      <c r="F404" s="27" t="n"/>
      <c r="G404" s="18">
        <f>IF(D404="Tandem",10,IF(D404="TT",22,IF(D404="Quad",25,"")))</f>
        <v/>
      </c>
      <c r="H404" s="28">
        <f>IFERROR(IF(F404*G404=0,0,F404*G404),0)</f>
        <v/>
      </c>
      <c r="I404" s="29" t="n"/>
      <c r="J404" s="57" t="n"/>
      <c r="K404" s="25" t="n"/>
      <c r="L404" s="30" t="n"/>
      <c r="M404" s="58" t="n"/>
      <c r="N404" s="30" t="n"/>
      <c r="O404" s="24">
        <f>IFERROR(IF(OR(M404="",M404=0),0,H404*VALUE(SUBSTITUTE(M404&amp;"","$",""))),0)</f>
        <v/>
      </c>
    </row>
    <row r="405" hidden="1" outlineLevel="1" ht="16" customHeight="1">
      <c r="A405" s="13" t="n"/>
      <c r="B405" s="14" t="n"/>
      <c r="C405" s="15" t="n"/>
      <c r="D405" s="56" t="n"/>
      <c r="E405" s="56" t="n"/>
      <c r="F405" s="17" t="n"/>
      <c r="G405" s="18">
        <f>IF(D405="Tandem",10,IF(D405="TT",22,IF(D405="Quad",25,"")))</f>
        <v/>
      </c>
      <c r="H405" s="19">
        <f>IFERROR(IF(F405*G405=0,0,F405*G405),0)</f>
        <v/>
      </c>
      <c r="I405" s="20" t="n"/>
      <c r="J405" s="57" t="n"/>
      <c r="K405" s="14" t="n"/>
      <c r="L405" s="22" t="n"/>
      <c r="M405" s="58" t="n"/>
      <c r="N405" s="22" t="n"/>
      <c r="O405" s="24">
        <f>IFERROR(IF(OR(M405="",M405=0),0,H405*VALUE(SUBSTITUTE(M405&amp;"","$",""))),0)</f>
        <v/>
      </c>
    </row>
    <row r="406" hidden="1" outlineLevel="1" ht="16" customHeight="1">
      <c r="A406" s="13" t="n"/>
      <c r="B406" s="25" t="n"/>
      <c r="C406" s="26" t="n"/>
      <c r="D406" s="56" t="n"/>
      <c r="E406" s="56" t="n"/>
      <c r="F406" s="27" t="n"/>
      <c r="G406" s="18">
        <f>IF(D406="Tandem",10,IF(D406="TT",22,IF(D406="Quad",25,"")))</f>
        <v/>
      </c>
      <c r="H406" s="28">
        <f>IFERROR(IF(F406*G406=0,0,F406*G406),0)</f>
        <v/>
      </c>
      <c r="I406" s="29" t="n"/>
      <c r="J406" s="57" t="n"/>
      <c r="K406" s="25" t="n"/>
      <c r="L406" s="30" t="n"/>
      <c r="M406" s="58" t="n"/>
      <c r="N406" s="30" t="n"/>
      <c r="O406" s="24">
        <f>IFERROR(IF(OR(M406="",M406=0),0,H406*VALUE(SUBSTITUTE(M406&amp;"","$",""))),0)</f>
        <v/>
      </c>
    </row>
    <row r="407" hidden="1" outlineLevel="1" ht="16" customHeight="1">
      <c r="A407" s="13" t="n"/>
      <c r="B407" s="14" t="n"/>
      <c r="C407" s="15" t="n"/>
      <c r="D407" s="56" t="n"/>
      <c r="E407" s="56" t="n"/>
      <c r="F407" s="17" t="n"/>
      <c r="G407" s="18">
        <f>IF(D407="Tandem",10,IF(D407="TT",22,IF(D407="Quad",25,"")))</f>
        <v/>
      </c>
      <c r="H407" s="19">
        <f>IFERROR(IF(F407*G407=0,0,F407*G407),0)</f>
        <v/>
      </c>
      <c r="I407" s="20" t="n"/>
      <c r="J407" s="57" t="n"/>
      <c r="K407" s="14" t="n"/>
      <c r="L407" s="22" t="n"/>
      <c r="M407" s="58" t="n"/>
      <c r="N407" s="22" t="n"/>
      <c r="O407" s="24">
        <f>IFERROR(IF(OR(M407="",M407=0),0,H407*VALUE(SUBSTITUTE(M407&amp;"","$",""))),0)</f>
        <v/>
      </c>
    </row>
    <row r="408" hidden="1" outlineLevel="1" ht="16" customHeight="1">
      <c r="A408" s="13" t="n"/>
      <c r="B408" s="25" t="n"/>
      <c r="C408" s="26" t="n"/>
      <c r="D408" s="56" t="n"/>
      <c r="E408" s="56" t="n"/>
      <c r="F408" s="27" t="n"/>
      <c r="G408" s="18">
        <f>IF(D408="Tandem",10,IF(D408="TT",22,IF(D408="Quad",25,"")))</f>
        <v/>
      </c>
      <c r="H408" s="28">
        <f>IFERROR(IF(F408*G408=0,0,F408*G408),0)</f>
        <v/>
      </c>
      <c r="I408" s="29" t="n"/>
      <c r="J408" s="57" t="n"/>
      <c r="K408" s="25" t="n"/>
      <c r="L408" s="30" t="n"/>
      <c r="M408" s="58" t="n"/>
      <c r="N408" s="30" t="n"/>
      <c r="O408" s="24">
        <f>IFERROR(IF(OR(M408="",M408=0),0,H408*VALUE(SUBSTITUTE(M408&amp;"","$",""))),0)</f>
        <v/>
      </c>
    </row>
    <row r="409" hidden="1" outlineLevel="1" ht="20" customHeight="1">
      <c r="A409" s="59" t="inlineStr">
        <is>
          <t>Daily Notes:</t>
        </is>
      </c>
      <c r="B409" s="54" t="n"/>
      <c r="C409" s="54" t="n"/>
      <c r="D409" s="54" t="n"/>
      <c r="E409" s="54" t="n"/>
      <c r="F409" s="54" t="n"/>
      <c r="G409" s="54" t="n"/>
      <c r="H409" s="54" t="n"/>
      <c r="I409" s="54" t="n"/>
      <c r="J409" s="54" t="n"/>
      <c r="K409" s="54" t="n"/>
      <c r="L409" s="54" t="n"/>
      <c r="M409" s="54" t="n"/>
      <c r="N409" s="50" t="n"/>
      <c r="O409" s="60" t="n"/>
    </row>
    <row r="410" hidden="1" outlineLevel="1" ht="18" customHeight="1">
      <c r="A410" s="32" t="inlineStr">
        <is>
          <t>DAILY TOTAL</t>
        </is>
      </c>
      <c r="B410" s="54" t="n"/>
      <c r="C410" s="54" t="n"/>
      <c r="D410" s="54" t="n"/>
      <c r="E410" s="54" t="n"/>
      <c r="F410" s="54" t="n"/>
      <c r="G410" s="50" t="n"/>
      <c r="H410" s="34">
        <f>SUM(H379:H408)</f>
        <v/>
      </c>
      <c r="I410" s="35">
        <f>SUM(I379:I408)</f>
        <v/>
      </c>
      <c r="J410" s="61" t="n"/>
      <c r="K410" s="61" t="n"/>
      <c r="L410" s="61" t="n"/>
      <c r="M410" s="36">
        <f>SUM(O379:O408)</f>
        <v/>
      </c>
      <c r="N410" s="61" t="n"/>
      <c r="O410" s="62" t="n"/>
    </row>
    <row r="411" hidden="1" outlineLevel="1" ht="18" customHeight="1">
      <c r="A411" s="2" t="inlineStr">
        <is>
          <t>▶ RUNNING TOTAL</t>
        </is>
      </c>
      <c r="B411" s="54" t="n"/>
      <c r="C411" s="54" t="n"/>
      <c r="D411" s="54" t="n"/>
      <c r="E411" s="54" t="n"/>
      <c r="F411" s="54" t="n"/>
      <c r="G411" s="50" t="n"/>
      <c r="H411" s="37">
        <f>H50+H86+H122+H158+H194+H230+H266+H302+H338+H374+H410</f>
        <v/>
      </c>
      <c r="I411" s="63" t="n"/>
      <c r="J411" s="63" t="n"/>
      <c r="K411" s="63" t="n"/>
      <c r="L411" s="63" t="n"/>
      <c r="M411" s="38">
        <f>M50+M86+M122+M158+M194+M230+M266+M302+M338+M374+M410</f>
        <v/>
      </c>
      <c r="N411" s="63" t="n"/>
      <c r="O411" s="64" t="n"/>
    </row>
    <row r="412" hidden="1" outlineLevel="1" ht="8" customHeight="1"/>
    <row r="413" ht="22" customHeight="1">
      <c r="A413" s="55" t="inlineStr">
        <is>
          <t>DAY 12</t>
        </is>
      </c>
      <c r="B413" s="54" t="n"/>
      <c r="C413" s="54" t="n"/>
      <c r="D413" s="54" t="n"/>
      <c r="E413" s="54" t="n"/>
      <c r="F413" s="54" t="n"/>
      <c r="G413" s="54" t="n"/>
      <c r="H413" s="54" t="n"/>
      <c r="I413" s="54" t="n"/>
      <c r="J413" s="54" t="n"/>
      <c r="K413" s="54" t="n"/>
      <c r="L413" s="54" t="n"/>
      <c r="M413" s="54" t="n"/>
      <c r="N413" s="50" t="n"/>
    </row>
    <row r="414" hidden="1" outlineLevel="1" ht="28" customHeight="1">
      <c r="A414" s="12" t="inlineStr">
        <is>
          <t>Date</t>
        </is>
      </c>
      <c r="B414" s="12" t="inlineStr">
        <is>
          <t>Cartage Company</t>
        </is>
      </c>
      <c r="C414" s="12" t="inlineStr">
        <is>
          <t>Truck Rego</t>
        </is>
      </c>
      <c r="D414" s="12" t="inlineStr">
        <is>
          <t>Truck Type</t>
        </is>
      </c>
      <c r="E414" s="12" t="inlineStr">
        <is>
          <t>Exp / Imp</t>
        </is>
      </c>
      <c r="F414" s="12" t="inlineStr">
        <is>
          <t>Loads</t>
        </is>
      </c>
      <c r="G414" s="12" t="inlineStr">
        <is>
          <t>m³ / Load</t>
        </is>
      </c>
      <c r="H414" s="12" t="inlineStr">
        <is>
          <t>Total m³</t>
        </is>
      </c>
      <c r="I414" s="12" t="inlineStr">
        <is>
          <t>Hours</t>
        </is>
      </c>
      <c r="J414" s="12" t="inlineStr">
        <is>
          <t>Material</t>
        </is>
      </c>
      <c r="K414" s="12" t="inlineStr">
        <is>
          <t>Tip Site</t>
        </is>
      </c>
      <c r="L414" s="12" t="inlineStr">
        <is>
          <t>Docket #</t>
        </is>
      </c>
      <c r="M414" s="12" t="inlineStr">
        <is>
          <t>Rate Paid ($/m³)</t>
        </is>
      </c>
      <c r="N414" s="12" t="inlineStr">
        <is>
          <t>Invoice #</t>
        </is>
      </c>
    </row>
    <row r="415" hidden="1" outlineLevel="1" ht="16" customHeight="1">
      <c r="A415" s="13" t="n"/>
      <c r="B415" s="14" t="n"/>
      <c r="C415" s="15" t="n"/>
      <c r="D415" s="56" t="n"/>
      <c r="E415" s="56" t="n"/>
      <c r="F415" s="17" t="n"/>
      <c r="G415" s="18">
        <f>IF(D415="Tandem",10,IF(D415="TT",22,IF(D415="Quad",25,"")))</f>
        <v/>
      </c>
      <c r="H415" s="19">
        <f>IFERROR(IF(F415*G415=0,0,F415*G415),0)</f>
        <v/>
      </c>
      <c r="I415" s="20" t="n"/>
      <c r="J415" s="57" t="n"/>
      <c r="K415" s="14" t="n"/>
      <c r="L415" s="22" t="n"/>
      <c r="M415" s="58" t="n"/>
      <c r="N415" s="22" t="n"/>
      <c r="O415" s="24">
        <f>IFERROR(IF(OR(M415="",M415=0),0,H415*VALUE(SUBSTITUTE(M415&amp;"","$",""))),0)</f>
        <v/>
      </c>
    </row>
    <row r="416" hidden="1" outlineLevel="1" ht="16" customHeight="1">
      <c r="A416" s="13" t="n"/>
      <c r="B416" s="25" t="n"/>
      <c r="C416" s="26" t="n"/>
      <c r="D416" s="56" t="n"/>
      <c r="E416" s="56" t="n"/>
      <c r="F416" s="27" t="n"/>
      <c r="G416" s="18">
        <f>IF(D416="Tandem",10,IF(D416="TT",22,IF(D416="Quad",25,"")))</f>
        <v/>
      </c>
      <c r="H416" s="28">
        <f>IFERROR(IF(F416*G416=0,0,F416*G416),0)</f>
        <v/>
      </c>
      <c r="I416" s="29" t="n"/>
      <c r="J416" s="57" t="n"/>
      <c r="K416" s="25" t="n"/>
      <c r="L416" s="30" t="n"/>
      <c r="M416" s="58" t="n"/>
      <c r="N416" s="30" t="n"/>
      <c r="O416" s="24">
        <f>IFERROR(IF(OR(M416="",M416=0),0,H416*VALUE(SUBSTITUTE(M416&amp;"","$",""))),0)</f>
        <v/>
      </c>
    </row>
    <row r="417" hidden="1" outlineLevel="1" ht="16" customHeight="1">
      <c r="A417" s="13" t="n"/>
      <c r="B417" s="14" t="n"/>
      <c r="C417" s="15" t="n"/>
      <c r="D417" s="56" t="n"/>
      <c r="E417" s="56" t="n"/>
      <c r="F417" s="17" t="n"/>
      <c r="G417" s="18">
        <f>IF(D417="Tandem",10,IF(D417="TT",22,IF(D417="Quad",25,"")))</f>
        <v/>
      </c>
      <c r="H417" s="19">
        <f>IFERROR(IF(F417*G417=0,0,F417*G417),0)</f>
        <v/>
      </c>
      <c r="I417" s="20" t="n"/>
      <c r="J417" s="57" t="n"/>
      <c r="K417" s="14" t="n"/>
      <c r="L417" s="22" t="n"/>
      <c r="M417" s="58" t="n"/>
      <c r="N417" s="22" t="n"/>
      <c r="O417" s="24">
        <f>IFERROR(IF(OR(M417="",M417=0),0,H417*VALUE(SUBSTITUTE(M417&amp;"","$",""))),0)</f>
        <v/>
      </c>
    </row>
    <row r="418" hidden="1" outlineLevel="1" ht="16" customHeight="1">
      <c r="A418" s="13" t="n"/>
      <c r="B418" s="25" t="n"/>
      <c r="C418" s="26" t="n"/>
      <c r="D418" s="56" t="n"/>
      <c r="E418" s="56" t="n"/>
      <c r="F418" s="27" t="n"/>
      <c r="G418" s="18">
        <f>IF(D418="Tandem",10,IF(D418="TT",22,IF(D418="Quad",25,"")))</f>
        <v/>
      </c>
      <c r="H418" s="28">
        <f>IFERROR(IF(F418*G418=0,0,F418*G418),0)</f>
        <v/>
      </c>
      <c r="I418" s="29" t="n"/>
      <c r="J418" s="57" t="n"/>
      <c r="K418" s="25" t="n"/>
      <c r="L418" s="30" t="n"/>
      <c r="M418" s="58" t="n"/>
      <c r="N418" s="30" t="n"/>
      <c r="O418" s="24">
        <f>IFERROR(IF(OR(M418="",M418=0),0,H418*VALUE(SUBSTITUTE(M418&amp;"","$",""))),0)</f>
        <v/>
      </c>
    </row>
    <row r="419" hidden="1" outlineLevel="1" ht="16" customHeight="1">
      <c r="A419" s="13" t="n"/>
      <c r="B419" s="14" t="n"/>
      <c r="C419" s="15" t="n"/>
      <c r="D419" s="56" t="n"/>
      <c r="E419" s="56" t="n"/>
      <c r="F419" s="17" t="n"/>
      <c r="G419" s="18">
        <f>IF(D419="Tandem",10,IF(D419="TT",22,IF(D419="Quad",25,"")))</f>
        <v/>
      </c>
      <c r="H419" s="19">
        <f>IFERROR(IF(F419*G419=0,0,F419*G419),0)</f>
        <v/>
      </c>
      <c r="I419" s="20" t="n"/>
      <c r="J419" s="57" t="n"/>
      <c r="K419" s="14" t="n"/>
      <c r="L419" s="22" t="n"/>
      <c r="M419" s="58" t="n"/>
      <c r="N419" s="22" t="n"/>
      <c r="O419" s="24">
        <f>IFERROR(IF(OR(M419="",M419=0),0,H419*VALUE(SUBSTITUTE(M419&amp;"","$",""))),0)</f>
        <v/>
      </c>
    </row>
    <row r="420" hidden="1" outlineLevel="1" ht="16" customHeight="1">
      <c r="A420" s="13" t="n"/>
      <c r="B420" s="25" t="n"/>
      <c r="C420" s="26" t="n"/>
      <c r="D420" s="56" t="n"/>
      <c r="E420" s="56" t="n"/>
      <c r="F420" s="27" t="n"/>
      <c r="G420" s="18">
        <f>IF(D420="Tandem",10,IF(D420="TT",22,IF(D420="Quad",25,"")))</f>
        <v/>
      </c>
      <c r="H420" s="28">
        <f>IFERROR(IF(F420*G420=0,0,F420*G420),0)</f>
        <v/>
      </c>
      <c r="I420" s="29" t="n"/>
      <c r="J420" s="57" t="n"/>
      <c r="K420" s="25" t="n"/>
      <c r="L420" s="30" t="n"/>
      <c r="M420" s="58" t="n"/>
      <c r="N420" s="30" t="n"/>
      <c r="O420" s="24">
        <f>IFERROR(IF(OR(M420="",M420=0),0,H420*VALUE(SUBSTITUTE(M420&amp;"","$",""))),0)</f>
        <v/>
      </c>
    </row>
    <row r="421" hidden="1" outlineLevel="1" ht="16" customHeight="1">
      <c r="A421" s="13" t="n"/>
      <c r="B421" s="14" t="n"/>
      <c r="C421" s="15" t="n"/>
      <c r="D421" s="56" t="n"/>
      <c r="E421" s="56" t="n"/>
      <c r="F421" s="17" t="n"/>
      <c r="G421" s="18">
        <f>IF(D421="Tandem",10,IF(D421="TT",22,IF(D421="Quad",25,"")))</f>
        <v/>
      </c>
      <c r="H421" s="19">
        <f>IFERROR(IF(F421*G421=0,0,F421*G421),0)</f>
        <v/>
      </c>
      <c r="I421" s="20" t="n"/>
      <c r="J421" s="57" t="n"/>
      <c r="K421" s="14" t="n"/>
      <c r="L421" s="22" t="n"/>
      <c r="M421" s="58" t="n"/>
      <c r="N421" s="22" t="n"/>
      <c r="O421" s="24">
        <f>IFERROR(IF(OR(M421="",M421=0),0,H421*VALUE(SUBSTITUTE(M421&amp;"","$",""))),0)</f>
        <v/>
      </c>
    </row>
    <row r="422" hidden="1" outlineLevel="1" ht="16" customHeight="1">
      <c r="A422" s="13" t="n"/>
      <c r="B422" s="25" t="n"/>
      <c r="C422" s="26" t="n"/>
      <c r="D422" s="56" t="n"/>
      <c r="E422" s="56" t="n"/>
      <c r="F422" s="27" t="n"/>
      <c r="G422" s="18">
        <f>IF(D422="Tandem",10,IF(D422="TT",22,IF(D422="Quad",25,"")))</f>
        <v/>
      </c>
      <c r="H422" s="28">
        <f>IFERROR(IF(F422*G422=0,0,F422*G422),0)</f>
        <v/>
      </c>
      <c r="I422" s="29" t="n"/>
      <c r="J422" s="57" t="n"/>
      <c r="K422" s="25" t="n"/>
      <c r="L422" s="30" t="n"/>
      <c r="M422" s="58" t="n"/>
      <c r="N422" s="30" t="n"/>
      <c r="O422" s="24">
        <f>IFERROR(IF(OR(M422="",M422=0),0,H422*VALUE(SUBSTITUTE(M422&amp;"","$",""))),0)</f>
        <v/>
      </c>
    </row>
    <row r="423" hidden="1" outlineLevel="1" ht="16" customHeight="1">
      <c r="A423" s="13" t="n"/>
      <c r="B423" s="14" t="n"/>
      <c r="C423" s="15" t="n"/>
      <c r="D423" s="56" t="n"/>
      <c r="E423" s="56" t="n"/>
      <c r="F423" s="17" t="n"/>
      <c r="G423" s="18">
        <f>IF(D423="Tandem",10,IF(D423="TT",22,IF(D423="Quad",25,"")))</f>
        <v/>
      </c>
      <c r="H423" s="19">
        <f>IFERROR(IF(F423*G423=0,0,F423*G423),0)</f>
        <v/>
      </c>
      <c r="I423" s="20" t="n"/>
      <c r="J423" s="57" t="n"/>
      <c r="K423" s="14" t="n"/>
      <c r="L423" s="22" t="n"/>
      <c r="M423" s="58" t="n"/>
      <c r="N423" s="22" t="n"/>
      <c r="O423" s="24">
        <f>IFERROR(IF(OR(M423="",M423=0),0,H423*VALUE(SUBSTITUTE(M423&amp;"","$",""))),0)</f>
        <v/>
      </c>
    </row>
    <row r="424" hidden="1" outlineLevel="1" ht="16" customHeight="1">
      <c r="A424" s="13" t="n"/>
      <c r="B424" s="25" t="n"/>
      <c r="C424" s="26" t="n"/>
      <c r="D424" s="56" t="n"/>
      <c r="E424" s="56" t="n"/>
      <c r="F424" s="27" t="n"/>
      <c r="G424" s="18">
        <f>IF(D424="Tandem",10,IF(D424="TT",22,IF(D424="Quad",25,"")))</f>
        <v/>
      </c>
      <c r="H424" s="28">
        <f>IFERROR(IF(F424*G424=0,0,F424*G424),0)</f>
        <v/>
      </c>
      <c r="I424" s="29" t="n"/>
      <c r="J424" s="57" t="n"/>
      <c r="K424" s="25" t="n"/>
      <c r="L424" s="30" t="n"/>
      <c r="M424" s="58" t="n"/>
      <c r="N424" s="30" t="n"/>
      <c r="O424" s="24">
        <f>IFERROR(IF(OR(M424="",M424=0),0,H424*VALUE(SUBSTITUTE(M424&amp;"","$",""))),0)</f>
        <v/>
      </c>
    </row>
    <row r="425" hidden="1" outlineLevel="1" ht="16" customHeight="1">
      <c r="A425" s="13" t="n"/>
      <c r="B425" s="14" t="n"/>
      <c r="C425" s="15" t="n"/>
      <c r="D425" s="56" t="n"/>
      <c r="E425" s="56" t="n"/>
      <c r="F425" s="17" t="n"/>
      <c r="G425" s="18">
        <f>IF(D425="Tandem",10,IF(D425="TT",22,IF(D425="Quad",25,"")))</f>
        <v/>
      </c>
      <c r="H425" s="19">
        <f>IFERROR(IF(F425*G425=0,0,F425*G425),0)</f>
        <v/>
      </c>
      <c r="I425" s="20" t="n"/>
      <c r="J425" s="57" t="n"/>
      <c r="K425" s="14" t="n"/>
      <c r="L425" s="22" t="n"/>
      <c r="M425" s="58" t="n"/>
      <c r="N425" s="22" t="n"/>
      <c r="O425" s="24">
        <f>IFERROR(IF(OR(M425="",M425=0),0,H425*VALUE(SUBSTITUTE(M425&amp;"","$",""))),0)</f>
        <v/>
      </c>
    </row>
    <row r="426" hidden="1" outlineLevel="1" ht="16" customHeight="1">
      <c r="A426" s="13" t="n"/>
      <c r="B426" s="25" t="n"/>
      <c r="C426" s="26" t="n"/>
      <c r="D426" s="56" t="n"/>
      <c r="E426" s="56" t="n"/>
      <c r="F426" s="27" t="n"/>
      <c r="G426" s="18">
        <f>IF(D426="Tandem",10,IF(D426="TT",22,IF(D426="Quad",25,"")))</f>
        <v/>
      </c>
      <c r="H426" s="28">
        <f>IFERROR(IF(F426*G426=0,0,F426*G426),0)</f>
        <v/>
      </c>
      <c r="I426" s="29" t="n"/>
      <c r="J426" s="57" t="n"/>
      <c r="K426" s="25" t="n"/>
      <c r="L426" s="30" t="n"/>
      <c r="M426" s="58" t="n"/>
      <c r="N426" s="30" t="n"/>
      <c r="O426" s="24">
        <f>IFERROR(IF(OR(M426="",M426=0),0,H426*VALUE(SUBSTITUTE(M426&amp;"","$",""))),0)</f>
        <v/>
      </c>
    </row>
    <row r="427" hidden="1" outlineLevel="1" ht="16" customHeight="1">
      <c r="A427" s="13" t="n"/>
      <c r="B427" s="14" t="n"/>
      <c r="C427" s="15" t="n"/>
      <c r="D427" s="56" t="n"/>
      <c r="E427" s="56" t="n"/>
      <c r="F427" s="17" t="n"/>
      <c r="G427" s="18">
        <f>IF(D427="Tandem",10,IF(D427="TT",22,IF(D427="Quad",25,"")))</f>
        <v/>
      </c>
      <c r="H427" s="19">
        <f>IFERROR(IF(F427*G427=0,0,F427*G427),0)</f>
        <v/>
      </c>
      <c r="I427" s="20" t="n"/>
      <c r="J427" s="57" t="n"/>
      <c r="K427" s="14" t="n"/>
      <c r="L427" s="22" t="n"/>
      <c r="M427" s="58" t="n"/>
      <c r="N427" s="22" t="n"/>
      <c r="O427" s="24">
        <f>IFERROR(IF(OR(M427="",M427=0),0,H427*VALUE(SUBSTITUTE(M427&amp;"","$",""))),0)</f>
        <v/>
      </c>
    </row>
    <row r="428" hidden="1" outlineLevel="1" ht="16" customHeight="1">
      <c r="A428" s="13" t="n"/>
      <c r="B428" s="25" t="n"/>
      <c r="C428" s="26" t="n"/>
      <c r="D428" s="56" t="n"/>
      <c r="E428" s="56" t="n"/>
      <c r="F428" s="27" t="n"/>
      <c r="G428" s="18">
        <f>IF(D428="Tandem",10,IF(D428="TT",22,IF(D428="Quad",25,"")))</f>
        <v/>
      </c>
      <c r="H428" s="28">
        <f>IFERROR(IF(F428*G428=0,0,F428*G428),0)</f>
        <v/>
      </c>
      <c r="I428" s="29" t="n"/>
      <c r="J428" s="57" t="n"/>
      <c r="K428" s="25" t="n"/>
      <c r="L428" s="30" t="n"/>
      <c r="M428" s="58" t="n"/>
      <c r="N428" s="30" t="n"/>
      <c r="O428" s="24">
        <f>IFERROR(IF(OR(M428="",M428=0),0,H428*VALUE(SUBSTITUTE(M428&amp;"","$",""))),0)</f>
        <v/>
      </c>
    </row>
    <row r="429" hidden="1" outlineLevel="1" ht="16" customHeight="1">
      <c r="A429" s="13" t="n"/>
      <c r="B429" s="14" t="n"/>
      <c r="C429" s="15" t="n"/>
      <c r="D429" s="56" t="n"/>
      <c r="E429" s="56" t="n"/>
      <c r="F429" s="17" t="n"/>
      <c r="G429" s="18">
        <f>IF(D429="Tandem",10,IF(D429="TT",22,IF(D429="Quad",25,"")))</f>
        <v/>
      </c>
      <c r="H429" s="19">
        <f>IFERROR(IF(F429*G429=0,0,F429*G429),0)</f>
        <v/>
      </c>
      <c r="I429" s="20" t="n"/>
      <c r="J429" s="57" t="n"/>
      <c r="K429" s="14" t="n"/>
      <c r="L429" s="22" t="n"/>
      <c r="M429" s="58" t="n"/>
      <c r="N429" s="22" t="n"/>
      <c r="O429" s="24">
        <f>IFERROR(IF(OR(M429="",M429=0),0,H429*VALUE(SUBSTITUTE(M429&amp;"","$",""))),0)</f>
        <v/>
      </c>
    </row>
    <row r="430" hidden="1" outlineLevel="1" ht="16" customHeight="1">
      <c r="A430" s="13" t="n"/>
      <c r="B430" s="25" t="n"/>
      <c r="C430" s="26" t="n"/>
      <c r="D430" s="56" t="n"/>
      <c r="E430" s="56" t="n"/>
      <c r="F430" s="27" t="n"/>
      <c r="G430" s="18">
        <f>IF(D430="Tandem",10,IF(D430="TT",22,IF(D430="Quad",25,"")))</f>
        <v/>
      </c>
      <c r="H430" s="28">
        <f>IFERROR(IF(F430*G430=0,0,F430*G430),0)</f>
        <v/>
      </c>
      <c r="I430" s="29" t="n"/>
      <c r="J430" s="57" t="n"/>
      <c r="K430" s="25" t="n"/>
      <c r="L430" s="30" t="n"/>
      <c r="M430" s="58" t="n"/>
      <c r="N430" s="30" t="n"/>
      <c r="O430" s="24">
        <f>IFERROR(IF(OR(M430="",M430=0),0,H430*VALUE(SUBSTITUTE(M430&amp;"","$",""))),0)</f>
        <v/>
      </c>
    </row>
    <row r="431" hidden="1" outlineLevel="1" ht="16" customHeight="1">
      <c r="A431" s="13" t="n"/>
      <c r="B431" s="14" t="n"/>
      <c r="C431" s="15" t="n"/>
      <c r="D431" s="56" t="n"/>
      <c r="E431" s="56" t="n"/>
      <c r="F431" s="17" t="n"/>
      <c r="G431" s="18">
        <f>IF(D431="Tandem",10,IF(D431="TT",22,IF(D431="Quad",25,"")))</f>
        <v/>
      </c>
      <c r="H431" s="19">
        <f>IFERROR(IF(F431*G431=0,0,F431*G431),0)</f>
        <v/>
      </c>
      <c r="I431" s="20" t="n"/>
      <c r="J431" s="57" t="n"/>
      <c r="K431" s="14" t="n"/>
      <c r="L431" s="22" t="n"/>
      <c r="M431" s="58" t="n"/>
      <c r="N431" s="22" t="n"/>
      <c r="O431" s="24">
        <f>IFERROR(IF(OR(M431="",M431=0),0,H431*VALUE(SUBSTITUTE(M431&amp;"","$",""))),0)</f>
        <v/>
      </c>
    </row>
    <row r="432" hidden="1" outlineLevel="1" ht="16" customHeight="1">
      <c r="A432" s="13" t="n"/>
      <c r="B432" s="25" t="n"/>
      <c r="C432" s="26" t="n"/>
      <c r="D432" s="56" t="n"/>
      <c r="E432" s="56" t="n"/>
      <c r="F432" s="27" t="n"/>
      <c r="G432" s="18">
        <f>IF(D432="Tandem",10,IF(D432="TT",22,IF(D432="Quad",25,"")))</f>
        <v/>
      </c>
      <c r="H432" s="28">
        <f>IFERROR(IF(F432*G432=0,0,F432*G432),0)</f>
        <v/>
      </c>
      <c r="I432" s="29" t="n"/>
      <c r="J432" s="57" t="n"/>
      <c r="K432" s="25" t="n"/>
      <c r="L432" s="30" t="n"/>
      <c r="M432" s="58" t="n"/>
      <c r="N432" s="30" t="n"/>
      <c r="O432" s="24">
        <f>IFERROR(IF(OR(M432="",M432=0),0,H432*VALUE(SUBSTITUTE(M432&amp;"","$",""))),0)</f>
        <v/>
      </c>
    </row>
    <row r="433" hidden="1" outlineLevel="1" ht="16" customHeight="1">
      <c r="A433" s="13" t="n"/>
      <c r="B433" s="14" t="n"/>
      <c r="C433" s="15" t="n"/>
      <c r="D433" s="56" t="n"/>
      <c r="E433" s="56" t="n"/>
      <c r="F433" s="17" t="n"/>
      <c r="G433" s="18">
        <f>IF(D433="Tandem",10,IF(D433="TT",22,IF(D433="Quad",25,"")))</f>
        <v/>
      </c>
      <c r="H433" s="19">
        <f>IFERROR(IF(F433*G433=0,0,F433*G433),0)</f>
        <v/>
      </c>
      <c r="I433" s="20" t="n"/>
      <c r="J433" s="57" t="n"/>
      <c r="K433" s="14" t="n"/>
      <c r="L433" s="22" t="n"/>
      <c r="M433" s="58" t="n"/>
      <c r="N433" s="22" t="n"/>
      <c r="O433" s="24">
        <f>IFERROR(IF(OR(M433="",M433=0),0,H433*VALUE(SUBSTITUTE(M433&amp;"","$",""))),0)</f>
        <v/>
      </c>
    </row>
    <row r="434" hidden="1" outlineLevel="1" ht="16" customHeight="1">
      <c r="A434" s="13" t="n"/>
      <c r="B434" s="25" t="n"/>
      <c r="C434" s="26" t="n"/>
      <c r="D434" s="56" t="n"/>
      <c r="E434" s="56" t="n"/>
      <c r="F434" s="27" t="n"/>
      <c r="G434" s="18">
        <f>IF(D434="Tandem",10,IF(D434="TT",22,IF(D434="Quad",25,"")))</f>
        <v/>
      </c>
      <c r="H434" s="28">
        <f>IFERROR(IF(F434*G434=0,0,F434*G434),0)</f>
        <v/>
      </c>
      <c r="I434" s="29" t="n"/>
      <c r="J434" s="57" t="n"/>
      <c r="K434" s="25" t="n"/>
      <c r="L434" s="30" t="n"/>
      <c r="M434" s="58" t="n"/>
      <c r="N434" s="30" t="n"/>
      <c r="O434" s="24">
        <f>IFERROR(IF(OR(M434="",M434=0),0,H434*VALUE(SUBSTITUTE(M434&amp;"","$",""))),0)</f>
        <v/>
      </c>
    </row>
    <row r="435" hidden="1" outlineLevel="1" ht="16" customHeight="1">
      <c r="A435" s="13" t="n"/>
      <c r="B435" s="14" t="n"/>
      <c r="C435" s="15" t="n"/>
      <c r="D435" s="56" t="n"/>
      <c r="E435" s="56" t="n"/>
      <c r="F435" s="17" t="n"/>
      <c r="G435" s="18">
        <f>IF(D435="Tandem",10,IF(D435="TT",22,IF(D435="Quad",25,"")))</f>
        <v/>
      </c>
      <c r="H435" s="19">
        <f>IFERROR(IF(F435*G435=0,0,F435*G435),0)</f>
        <v/>
      </c>
      <c r="I435" s="20" t="n"/>
      <c r="J435" s="57" t="n"/>
      <c r="K435" s="14" t="n"/>
      <c r="L435" s="22" t="n"/>
      <c r="M435" s="58" t="n"/>
      <c r="N435" s="22" t="n"/>
      <c r="O435" s="24">
        <f>IFERROR(IF(OR(M435="",M435=0),0,H435*VALUE(SUBSTITUTE(M435&amp;"","$",""))),0)</f>
        <v/>
      </c>
    </row>
    <row r="436" hidden="1" outlineLevel="1" ht="16" customHeight="1">
      <c r="A436" s="13" t="n"/>
      <c r="B436" s="25" t="n"/>
      <c r="C436" s="26" t="n"/>
      <c r="D436" s="56" t="n"/>
      <c r="E436" s="56" t="n"/>
      <c r="F436" s="27" t="n"/>
      <c r="G436" s="18">
        <f>IF(D436="Tandem",10,IF(D436="TT",22,IF(D436="Quad",25,"")))</f>
        <v/>
      </c>
      <c r="H436" s="28">
        <f>IFERROR(IF(F436*G436=0,0,F436*G436),0)</f>
        <v/>
      </c>
      <c r="I436" s="29" t="n"/>
      <c r="J436" s="57" t="n"/>
      <c r="K436" s="25" t="n"/>
      <c r="L436" s="30" t="n"/>
      <c r="M436" s="58" t="n"/>
      <c r="N436" s="30" t="n"/>
      <c r="O436" s="24">
        <f>IFERROR(IF(OR(M436="",M436=0),0,H436*VALUE(SUBSTITUTE(M436&amp;"","$",""))),0)</f>
        <v/>
      </c>
    </row>
    <row r="437" hidden="1" outlineLevel="1" ht="16" customHeight="1">
      <c r="A437" s="13" t="n"/>
      <c r="B437" s="14" t="n"/>
      <c r="C437" s="15" t="n"/>
      <c r="D437" s="56" t="n"/>
      <c r="E437" s="56" t="n"/>
      <c r="F437" s="17" t="n"/>
      <c r="G437" s="18">
        <f>IF(D437="Tandem",10,IF(D437="TT",22,IF(D437="Quad",25,"")))</f>
        <v/>
      </c>
      <c r="H437" s="19">
        <f>IFERROR(IF(F437*G437=0,0,F437*G437),0)</f>
        <v/>
      </c>
      <c r="I437" s="20" t="n"/>
      <c r="J437" s="57" t="n"/>
      <c r="K437" s="14" t="n"/>
      <c r="L437" s="22" t="n"/>
      <c r="M437" s="58" t="n"/>
      <c r="N437" s="22" t="n"/>
      <c r="O437" s="24">
        <f>IFERROR(IF(OR(M437="",M437=0),0,H437*VALUE(SUBSTITUTE(M437&amp;"","$",""))),0)</f>
        <v/>
      </c>
    </row>
    <row r="438" hidden="1" outlineLevel="1" ht="16" customHeight="1">
      <c r="A438" s="13" t="n"/>
      <c r="B438" s="25" t="n"/>
      <c r="C438" s="26" t="n"/>
      <c r="D438" s="56" t="n"/>
      <c r="E438" s="56" t="n"/>
      <c r="F438" s="27" t="n"/>
      <c r="G438" s="18">
        <f>IF(D438="Tandem",10,IF(D438="TT",22,IF(D438="Quad",25,"")))</f>
        <v/>
      </c>
      <c r="H438" s="28">
        <f>IFERROR(IF(F438*G438=0,0,F438*G438),0)</f>
        <v/>
      </c>
      <c r="I438" s="29" t="n"/>
      <c r="J438" s="57" t="n"/>
      <c r="K438" s="25" t="n"/>
      <c r="L438" s="30" t="n"/>
      <c r="M438" s="58" t="n"/>
      <c r="N438" s="30" t="n"/>
      <c r="O438" s="24">
        <f>IFERROR(IF(OR(M438="",M438=0),0,H438*VALUE(SUBSTITUTE(M438&amp;"","$",""))),0)</f>
        <v/>
      </c>
    </row>
    <row r="439" hidden="1" outlineLevel="1" ht="16" customHeight="1">
      <c r="A439" s="13" t="n"/>
      <c r="B439" s="14" t="n"/>
      <c r="C439" s="15" t="n"/>
      <c r="D439" s="56" t="n"/>
      <c r="E439" s="56" t="n"/>
      <c r="F439" s="17" t="n"/>
      <c r="G439" s="18">
        <f>IF(D439="Tandem",10,IF(D439="TT",22,IF(D439="Quad",25,"")))</f>
        <v/>
      </c>
      <c r="H439" s="19">
        <f>IFERROR(IF(F439*G439=0,0,F439*G439),0)</f>
        <v/>
      </c>
      <c r="I439" s="20" t="n"/>
      <c r="J439" s="57" t="n"/>
      <c r="K439" s="14" t="n"/>
      <c r="L439" s="22" t="n"/>
      <c r="M439" s="58" t="n"/>
      <c r="N439" s="22" t="n"/>
      <c r="O439" s="24">
        <f>IFERROR(IF(OR(M439="",M439=0),0,H439*VALUE(SUBSTITUTE(M439&amp;"","$",""))),0)</f>
        <v/>
      </c>
    </row>
    <row r="440" hidden="1" outlineLevel="1" ht="16" customHeight="1">
      <c r="A440" s="13" t="n"/>
      <c r="B440" s="25" t="n"/>
      <c r="C440" s="26" t="n"/>
      <c r="D440" s="56" t="n"/>
      <c r="E440" s="56" t="n"/>
      <c r="F440" s="27" t="n"/>
      <c r="G440" s="18">
        <f>IF(D440="Tandem",10,IF(D440="TT",22,IF(D440="Quad",25,"")))</f>
        <v/>
      </c>
      <c r="H440" s="28">
        <f>IFERROR(IF(F440*G440=0,0,F440*G440),0)</f>
        <v/>
      </c>
      <c r="I440" s="29" t="n"/>
      <c r="J440" s="57" t="n"/>
      <c r="K440" s="25" t="n"/>
      <c r="L440" s="30" t="n"/>
      <c r="M440" s="58" t="n"/>
      <c r="N440" s="30" t="n"/>
      <c r="O440" s="24">
        <f>IFERROR(IF(OR(M440="",M440=0),0,H440*VALUE(SUBSTITUTE(M440&amp;"","$",""))),0)</f>
        <v/>
      </c>
    </row>
    <row r="441" hidden="1" outlineLevel="1" ht="16" customHeight="1">
      <c r="A441" s="13" t="n"/>
      <c r="B441" s="14" t="n"/>
      <c r="C441" s="15" t="n"/>
      <c r="D441" s="56" t="n"/>
      <c r="E441" s="56" t="n"/>
      <c r="F441" s="17" t="n"/>
      <c r="G441" s="18">
        <f>IF(D441="Tandem",10,IF(D441="TT",22,IF(D441="Quad",25,"")))</f>
        <v/>
      </c>
      <c r="H441" s="19">
        <f>IFERROR(IF(F441*G441=0,0,F441*G441),0)</f>
        <v/>
      </c>
      <c r="I441" s="20" t="n"/>
      <c r="J441" s="57" t="n"/>
      <c r="K441" s="14" t="n"/>
      <c r="L441" s="22" t="n"/>
      <c r="M441" s="58" t="n"/>
      <c r="N441" s="22" t="n"/>
      <c r="O441" s="24">
        <f>IFERROR(IF(OR(M441="",M441=0),0,H441*VALUE(SUBSTITUTE(M441&amp;"","$",""))),0)</f>
        <v/>
      </c>
    </row>
    <row r="442" hidden="1" outlineLevel="1" ht="16" customHeight="1">
      <c r="A442" s="13" t="n"/>
      <c r="B442" s="25" t="n"/>
      <c r="C442" s="26" t="n"/>
      <c r="D442" s="56" t="n"/>
      <c r="E442" s="56" t="n"/>
      <c r="F442" s="27" t="n"/>
      <c r="G442" s="18">
        <f>IF(D442="Tandem",10,IF(D442="TT",22,IF(D442="Quad",25,"")))</f>
        <v/>
      </c>
      <c r="H442" s="28">
        <f>IFERROR(IF(F442*G442=0,0,F442*G442),0)</f>
        <v/>
      </c>
      <c r="I442" s="29" t="n"/>
      <c r="J442" s="57" t="n"/>
      <c r="K442" s="25" t="n"/>
      <c r="L442" s="30" t="n"/>
      <c r="M442" s="58" t="n"/>
      <c r="N442" s="30" t="n"/>
      <c r="O442" s="24">
        <f>IFERROR(IF(OR(M442="",M442=0),0,H442*VALUE(SUBSTITUTE(M442&amp;"","$",""))),0)</f>
        <v/>
      </c>
    </row>
    <row r="443" hidden="1" outlineLevel="1" ht="16" customHeight="1">
      <c r="A443" s="13" t="n"/>
      <c r="B443" s="14" t="n"/>
      <c r="C443" s="15" t="n"/>
      <c r="D443" s="56" t="n"/>
      <c r="E443" s="56" t="n"/>
      <c r="F443" s="17" t="n"/>
      <c r="G443" s="18">
        <f>IF(D443="Tandem",10,IF(D443="TT",22,IF(D443="Quad",25,"")))</f>
        <v/>
      </c>
      <c r="H443" s="19">
        <f>IFERROR(IF(F443*G443=0,0,F443*G443),0)</f>
        <v/>
      </c>
      <c r="I443" s="20" t="n"/>
      <c r="J443" s="57" t="n"/>
      <c r="K443" s="14" t="n"/>
      <c r="L443" s="22" t="n"/>
      <c r="M443" s="58" t="n"/>
      <c r="N443" s="22" t="n"/>
      <c r="O443" s="24">
        <f>IFERROR(IF(OR(M443="",M443=0),0,H443*VALUE(SUBSTITUTE(M443&amp;"","$",""))),0)</f>
        <v/>
      </c>
    </row>
    <row r="444" hidden="1" outlineLevel="1" ht="16" customHeight="1">
      <c r="A444" s="13" t="n"/>
      <c r="B444" s="25" t="n"/>
      <c r="C444" s="26" t="n"/>
      <c r="D444" s="56" t="n"/>
      <c r="E444" s="56" t="n"/>
      <c r="F444" s="27" t="n"/>
      <c r="G444" s="18">
        <f>IF(D444="Tandem",10,IF(D444="TT",22,IF(D444="Quad",25,"")))</f>
        <v/>
      </c>
      <c r="H444" s="28">
        <f>IFERROR(IF(F444*G444=0,0,F444*G444),0)</f>
        <v/>
      </c>
      <c r="I444" s="29" t="n"/>
      <c r="J444" s="57" t="n"/>
      <c r="K444" s="25" t="n"/>
      <c r="L444" s="30" t="n"/>
      <c r="M444" s="58" t="n"/>
      <c r="N444" s="30" t="n"/>
      <c r="O444" s="24">
        <f>IFERROR(IF(OR(M444="",M444=0),0,H444*VALUE(SUBSTITUTE(M444&amp;"","$",""))),0)</f>
        <v/>
      </c>
    </row>
    <row r="445" hidden="1" outlineLevel="1" ht="20" customHeight="1">
      <c r="A445" s="59" t="inlineStr">
        <is>
          <t>Daily Notes:</t>
        </is>
      </c>
      <c r="B445" s="54" t="n"/>
      <c r="C445" s="54" t="n"/>
      <c r="D445" s="54" t="n"/>
      <c r="E445" s="54" t="n"/>
      <c r="F445" s="54" t="n"/>
      <c r="G445" s="54" t="n"/>
      <c r="H445" s="54" t="n"/>
      <c r="I445" s="54" t="n"/>
      <c r="J445" s="54" t="n"/>
      <c r="K445" s="54" t="n"/>
      <c r="L445" s="54" t="n"/>
      <c r="M445" s="54" t="n"/>
      <c r="N445" s="50" t="n"/>
      <c r="O445" s="60" t="n"/>
    </row>
    <row r="446" hidden="1" outlineLevel="1" ht="18" customHeight="1">
      <c r="A446" s="32" t="inlineStr">
        <is>
          <t>DAILY TOTAL</t>
        </is>
      </c>
      <c r="B446" s="54" t="n"/>
      <c r="C446" s="54" t="n"/>
      <c r="D446" s="54" t="n"/>
      <c r="E446" s="54" t="n"/>
      <c r="F446" s="54" t="n"/>
      <c r="G446" s="50" t="n"/>
      <c r="H446" s="34">
        <f>SUM(H415:H444)</f>
        <v/>
      </c>
      <c r="I446" s="35">
        <f>SUM(I415:I444)</f>
        <v/>
      </c>
      <c r="J446" s="61" t="n"/>
      <c r="K446" s="61" t="n"/>
      <c r="L446" s="61" t="n"/>
      <c r="M446" s="36">
        <f>SUM(O415:O444)</f>
        <v/>
      </c>
      <c r="N446" s="61" t="n"/>
      <c r="O446" s="62" t="n"/>
    </row>
    <row r="447" hidden="1" outlineLevel="1" ht="18" customHeight="1">
      <c r="A447" s="2" t="inlineStr">
        <is>
          <t>▶ RUNNING TOTAL</t>
        </is>
      </c>
      <c r="B447" s="54" t="n"/>
      <c r="C447" s="54" t="n"/>
      <c r="D447" s="54" t="n"/>
      <c r="E447" s="54" t="n"/>
      <c r="F447" s="54" t="n"/>
      <c r="G447" s="50" t="n"/>
      <c r="H447" s="37">
        <f>H50+H86+H122+H158+H194+H230+H266+H302+H338+H374+H410+H446</f>
        <v/>
      </c>
      <c r="I447" s="63" t="n"/>
      <c r="J447" s="63" t="n"/>
      <c r="K447" s="63" t="n"/>
      <c r="L447" s="63" t="n"/>
      <c r="M447" s="38">
        <f>M50+M86+M122+M158+M194+M230+M266+M302+M338+M374+M410+M446</f>
        <v/>
      </c>
      <c r="N447" s="63" t="n"/>
      <c r="O447" s="64" t="n"/>
    </row>
    <row r="448" hidden="1" outlineLevel="1" ht="8" customHeight="1"/>
    <row r="449" ht="22" customHeight="1">
      <c r="A449" s="55" t="inlineStr">
        <is>
          <t>DAY 13</t>
        </is>
      </c>
      <c r="B449" s="54" t="n"/>
      <c r="C449" s="54" t="n"/>
      <c r="D449" s="54" t="n"/>
      <c r="E449" s="54" t="n"/>
      <c r="F449" s="54" t="n"/>
      <c r="G449" s="54" t="n"/>
      <c r="H449" s="54" t="n"/>
      <c r="I449" s="54" t="n"/>
      <c r="J449" s="54" t="n"/>
      <c r="K449" s="54" t="n"/>
      <c r="L449" s="54" t="n"/>
      <c r="M449" s="54" t="n"/>
      <c r="N449" s="50" t="n"/>
    </row>
    <row r="450" hidden="1" outlineLevel="1" ht="28" customHeight="1">
      <c r="A450" s="12" t="inlineStr">
        <is>
          <t>Date</t>
        </is>
      </c>
      <c r="B450" s="12" t="inlineStr">
        <is>
          <t>Cartage Company</t>
        </is>
      </c>
      <c r="C450" s="12" t="inlineStr">
        <is>
          <t>Truck Rego</t>
        </is>
      </c>
      <c r="D450" s="12" t="inlineStr">
        <is>
          <t>Truck Type</t>
        </is>
      </c>
      <c r="E450" s="12" t="inlineStr">
        <is>
          <t>Exp / Imp</t>
        </is>
      </c>
      <c r="F450" s="12" t="inlineStr">
        <is>
          <t>Loads</t>
        </is>
      </c>
      <c r="G450" s="12" t="inlineStr">
        <is>
          <t>m³ / Load</t>
        </is>
      </c>
      <c r="H450" s="12" t="inlineStr">
        <is>
          <t>Total m³</t>
        </is>
      </c>
      <c r="I450" s="12" t="inlineStr">
        <is>
          <t>Hours</t>
        </is>
      </c>
      <c r="J450" s="12" t="inlineStr">
        <is>
          <t>Material</t>
        </is>
      </c>
      <c r="K450" s="12" t="inlineStr">
        <is>
          <t>Tip Site</t>
        </is>
      </c>
      <c r="L450" s="12" t="inlineStr">
        <is>
          <t>Docket #</t>
        </is>
      </c>
      <c r="M450" s="12" t="inlineStr">
        <is>
          <t>Rate Paid ($/m³)</t>
        </is>
      </c>
      <c r="N450" s="12" t="inlineStr">
        <is>
          <t>Invoice #</t>
        </is>
      </c>
    </row>
    <row r="451" hidden="1" outlineLevel="1" ht="16" customHeight="1">
      <c r="A451" s="13" t="n"/>
      <c r="B451" s="14" t="n"/>
      <c r="C451" s="15" t="n"/>
      <c r="D451" s="56" t="n"/>
      <c r="E451" s="56" t="n"/>
      <c r="F451" s="17" t="n"/>
      <c r="G451" s="18">
        <f>IF(D451="Tandem",10,IF(D451="TT",22,IF(D451="Quad",25,"")))</f>
        <v/>
      </c>
      <c r="H451" s="19">
        <f>IFERROR(IF(F451*G451=0,0,F451*G451),0)</f>
        <v/>
      </c>
      <c r="I451" s="20" t="n"/>
      <c r="J451" s="57" t="n"/>
      <c r="K451" s="14" t="n"/>
      <c r="L451" s="22" t="n"/>
      <c r="M451" s="58" t="n"/>
      <c r="N451" s="22" t="n"/>
      <c r="O451" s="24">
        <f>IFERROR(IF(OR(M451="",M451=0),0,H451*VALUE(SUBSTITUTE(M451&amp;"","$",""))),0)</f>
        <v/>
      </c>
    </row>
    <row r="452" hidden="1" outlineLevel="1" ht="16" customHeight="1">
      <c r="A452" s="13" t="n"/>
      <c r="B452" s="25" t="n"/>
      <c r="C452" s="26" t="n"/>
      <c r="D452" s="56" t="n"/>
      <c r="E452" s="56" t="n"/>
      <c r="F452" s="27" t="n"/>
      <c r="G452" s="18">
        <f>IF(D452="Tandem",10,IF(D452="TT",22,IF(D452="Quad",25,"")))</f>
        <v/>
      </c>
      <c r="H452" s="28">
        <f>IFERROR(IF(F452*G452=0,0,F452*G452),0)</f>
        <v/>
      </c>
      <c r="I452" s="29" t="n"/>
      <c r="J452" s="57" t="n"/>
      <c r="K452" s="25" t="n"/>
      <c r="L452" s="30" t="n"/>
      <c r="M452" s="58" t="n"/>
      <c r="N452" s="30" t="n"/>
      <c r="O452" s="24">
        <f>IFERROR(IF(OR(M452="",M452=0),0,H452*VALUE(SUBSTITUTE(M452&amp;"","$",""))),0)</f>
        <v/>
      </c>
    </row>
    <row r="453" hidden="1" outlineLevel="1" ht="16" customHeight="1">
      <c r="A453" s="13" t="n"/>
      <c r="B453" s="14" t="n"/>
      <c r="C453" s="15" t="n"/>
      <c r="D453" s="56" t="n"/>
      <c r="E453" s="56" t="n"/>
      <c r="F453" s="17" t="n"/>
      <c r="G453" s="18">
        <f>IF(D453="Tandem",10,IF(D453="TT",22,IF(D453="Quad",25,"")))</f>
        <v/>
      </c>
      <c r="H453" s="19">
        <f>IFERROR(IF(F453*G453=0,0,F453*G453),0)</f>
        <v/>
      </c>
      <c r="I453" s="20" t="n"/>
      <c r="J453" s="57" t="n"/>
      <c r="K453" s="14" t="n"/>
      <c r="L453" s="22" t="n"/>
      <c r="M453" s="58" t="n"/>
      <c r="N453" s="22" t="n"/>
      <c r="O453" s="24">
        <f>IFERROR(IF(OR(M453="",M453=0),0,H453*VALUE(SUBSTITUTE(M453&amp;"","$",""))),0)</f>
        <v/>
      </c>
    </row>
    <row r="454" hidden="1" outlineLevel="1" ht="16" customHeight="1">
      <c r="A454" s="13" t="n"/>
      <c r="B454" s="25" t="n"/>
      <c r="C454" s="26" t="n"/>
      <c r="D454" s="56" t="n"/>
      <c r="E454" s="56" t="n"/>
      <c r="F454" s="27" t="n"/>
      <c r="G454" s="18">
        <f>IF(D454="Tandem",10,IF(D454="TT",22,IF(D454="Quad",25,"")))</f>
        <v/>
      </c>
      <c r="H454" s="28">
        <f>IFERROR(IF(F454*G454=0,0,F454*G454),0)</f>
        <v/>
      </c>
      <c r="I454" s="29" t="n"/>
      <c r="J454" s="57" t="n"/>
      <c r="K454" s="25" t="n"/>
      <c r="L454" s="30" t="n"/>
      <c r="M454" s="58" t="n"/>
      <c r="N454" s="30" t="n"/>
      <c r="O454" s="24">
        <f>IFERROR(IF(OR(M454="",M454=0),0,H454*VALUE(SUBSTITUTE(M454&amp;"","$",""))),0)</f>
        <v/>
      </c>
    </row>
    <row r="455" hidden="1" outlineLevel="1" ht="16" customHeight="1">
      <c r="A455" s="13" t="n"/>
      <c r="B455" s="14" t="n"/>
      <c r="C455" s="15" t="n"/>
      <c r="D455" s="56" t="n"/>
      <c r="E455" s="56" t="n"/>
      <c r="F455" s="17" t="n"/>
      <c r="G455" s="18">
        <f>IF(D455="Tandem",10,IF(D455="TT",22,IF(D455="Quad",25,"")))</f>
        <v/>
      </c>
      <c r="H455" s="19">
        <f>IFERROR(IF(F455*G455=0,0,F455*G455),0)</f>
        <v/>
      </c>
      <c r="I455" s="20" t="n"/>
      <c r="J455" s="57" t="n"/>
      <c r="K455" s="14" t="n"/>
      <c r="L455" s="22" t="n"/>
      <c r="M455" s="58" t="n"/>
      <c r="N455" s="22" t="n"/>
      <c r="O455" s="24">
        <f>IFERROR(IF(OR(M455="",M455=0),0,H455*VALUE(SUBSTITUTE(M455&amp;"","$",""))),0)</f>
        <v/>
      </c>
    </row>
    <row r="456" hidden="1" outlineLevel="1" ht="16" customHeight="1">
      <c r="A456" s="13" t="n"/>
      <c r="B456" s="25" t="n"/>
      <c r="C456" s="26" t="n"/>
      <c r="D456" s="56" t="n"/>
      <c r="E456" s="56" t="n"/>
      <c r="F456" s="27" t="n"/>
      <c r="G456" s="18">
        <f>IF(D456="Tandem",10,IF(D456="TT",22,IF(D456="Quad",25,"")))</f>
        <v/>
      </c>
      <c r="H456" s="28">
        <f>IFERROR(IF(F456*G456=0,0,F456*G456),0)</f>
        <v/>
      </c>
      <c r="I456" s="29" t="n"/>
      <c r="J456" s="57" t="n"/>
      <c r="K456" s="25" t="n"/>
      <c r="L456" s="30" t="n"/>
      <c r="M456" s="58" t="n"/>
      <c r="N456" s="30" t="n"/>
      <c r="O456" s="24">
        <f>IFERROR(IF(OR(M456="",M456=0),0,H456*VALUE(SUBSTITUTE(M456&amp;"","$",""))),0)</f>
        <v/>
      </c>
    </row>
    <row r="457" hidden="1" outlineLevel="1" ht="16" customHeight="1">
      <c r="A457" s="13" t="n"/>
      <c r="B457" s="14" t="n"/>
      <c r="C457" s="15" t="n"/>
      <c r="D457" s="56" t="n"/>
      <c r="E457" s="56" t="n"/>
      <c r="F457" s="17" t="n"/>
      <c r="G457" s="18">
        <f>IF(D457="Tandem",10,IF(D457="TT",22,IF(D457="Quad",25,"")))</f>
        <v/>
      </c>
      <c r="H457" s="19">
        <f>IFERROR(IF(F457*G457=0,0,F457*G457),0)</f>
        <v/>
      </c>
      <c r="I457" s="20" t="n"/>
      <c r="J457" s="57" t="n"/>
      <c r="K457" s="14" t="n"/>
      <c r="L457" s="22" t="n"/>
      <c r="M457" s="58" t="n"/>
      <c r="N457" s="22" t="n"/>
      <c r="O457" s="24">
        <f>IFERROR(IF(OR(M457="",M457=0),0,H457*VALUE(SUBSTITUTE(M457&amp;"","$",""))),0)</f>
        <v/>
      </c>
    </row>
    <row r="458" hidden="1" outlineLevel="1" ht="16" customHeight="1">
      <c r="A458" s="13" t="n"/>
      <c r="B458" s="25" t="n"/>
      <c r="C458" s="26" t="n"/>
      <c r="D458" s="56" t="n"/>
      <c r="E458" s="56" t="n"/>
      <c r="F458" s="27" t="n"/>
      <c r="G458" s="18">
        <f>IF(D458="Tandem",10,IF(D458="TT",22,IF(D458="Quad",25,"")))</f>
        <v/>
      </c>
      <c r="H458" s="28">
        <f>IFERROR(IF(F458*G458=0,0,F458*G458),0)</f>
        <v/>
      </c>
      <c r="I458" s="29" t="n"/>
      <c r="J458" s="57" t="n"/>
      <c r="K458" s="25" t="n"/>
      <c r="L458" s="30" t="n"/>
      <c r="M458" s="58" t="n"/>
      <c r="N458" s="30" t="n"/>
      <c r="O458" s="24">
        <f>IFERROR(IF(OR(M458="",M458=0),0,H458*VALUE(SUBSTITUTE(M458&amp;"","$",""))),0)</f>
        <v/>
      </c>
    </row>
    <row r="459" hidden="1" outlineLevel="1" ht="16" customHeight="1">
      <c r="A459" s="13" t="n"/>
      <c r="B459" s="14" t="n"/>
      <c r="C459" s="15" t="n"/>
      <c r="D459" s="56" t="n"/>
      <c r="E459" s="56" t="n"/>
      <c r="F459" s="17" t="n"/>
      <c r="G459" s="18">
        <f>IF(D459="Tandem",10,IF(D459="TT",22,IF(D459="Quad",25,"")))</f>
        <v/>
      </c>
      <c r="H459" s="19">
        <f>IFERROR(IF(F459*G459=0,0,F459*G459),0)</f>
        <v/>
      </c>
      <c r="I459" s="20" t="n"/>
      <c r="J459" s="57" t="n"/>
      <c r="K459" s="14" t="n"/>
      <c r="L459" s="22" t="n"/>
      <c r="M459" s="58" t="n"/>
      <c r="N459" s="22" t="n"/>
      <c r="O459" s="24">
        <f>IFERROR(IF(OR(M459="",M459=0),0,H459*VALUE(SUBSTITUTE(M459&amp;"","$",""))),0)</f>
        <v/>
      </c>
    </row>
    <row r="460" hidden="1" outlineLevel="1" ht="16" customHeight="1">
      <c r="A460" s="13" t="n"/>
      <c r="B460" s="25" t="n"/>
      <c r="C460" s="26" t="n"/>
      <c r="D460" s="56" t="n"/>
      <c r="E460" s="56" t="n"/>
      <c r="F460" s="27" t="n"/>
      <c r="G460" s="18">
        <f>IF(D460="Tandem",10,IF(D460="TT",22,IF(D460="Quad",25,"")))</f>
        <v/>
      </c>
      <c r="H460" s="28">
        <f>IFERROR(IF(F460*G460=0,0,F460*G460),0)</f>
        <v/>
      </c>
      <c r="I460" s="29" t="n"/>
      <c r="J460" s="57" t="n"/>
      <c r="K460" s="25" t="n"/>
      <c r="L460" s="30" t="n"/>
      <c r="M460" s="58" t="n"/>
      <c r="N460" s="30" t="n"/>
      <c r="O460" s="24">
        <f>IFERROR(IF(OR(M460="",M460=0),0,H460*VALUE(SUBSTITUTE(M460&amp;"","$",""))),0)</f>
        <v/>
      </c>
    </row>
    <row r="461" hidden="1" outlineLevel="1" ht="16" customHeight="1">
      <c r="A461" s="13" t="n"/>
      <c r="B461" s="14" t="n"/>
      <c r="C461" s="15" t="n"/>
      <c r="D461" s="56" t="n"/>
      <c r="E461" s="56" t="n"/>
      <c r="F461" s="17" t="n"/>
      <c r="G461" s="18">
        <f>IF(D461="Tandem",10,IF(D461="TT",22,IF(D461="Quad",25,"")))</f>
        <v/>
      </c>
      <c r="H461" s="19">
        <f>IFERROR(IF(F461*G461=0,0,F461*G461),0)</f>
        <v/>
      </c>
      <c r="I461" s="20" t="n"/>
      <c r="J461" s="57" t="n"/>
      <c r="K461" s="14" t="n"/>
      <c r="L461" s="22" t="n"/>
      <c r="M461" s="58" t="n"/>
      <c r="N461" s="22" t="n"/>
      <c r="O461" s="24">
        <f>IFERROR(IF(OR(M461="",M461=0),0,H461*VALUE(SUBSTITUTE(M461&amp;"","$",""))),0)</f>
        <v/>
      </c>
    </row>
    <row r="462" hidden="1" outlineLevel="1" ht="16" customHeight="1">
      <c r="A462" s="13" t="n"/>
      <c r="B462" s="25" t="n"/>
      <c r="C462" s="26" t="n"/>
      <c r="D462" s="56" t="n"/>
      <c r="E462" s="56" t="n"/>
      <c r="F462" s="27" t="n"/>
      <c r="G462" s="18">
        <f>IF(D462="Tandem",10,IF(D462="TT",22,IF(D462="Quad",25,"")))</f>
        <v/>
      </c>
      <c r="H462" s="28">
        <f>IFERROR(IF(F462*G462=0,0,F462*G462),0)</f>
        <v/>
      </c>
      <c r="I462" s="29" t="n"/>
      <c r="J462" s="57" t="n"/>
      <c r="K462" s="25" t="n"/>
      <c r="L462" s="30" t="n"/>
      <c r="M462" s="58" t="n"/>
      <c r="N462" s="30" t="n"/>
      <c r="O462" s="24">
        <f>IFERROR(IF(OR(M462="",M462=0),0,H462*VALUE(SUBSTITUTE(M462&amp;"","$",""))),0)</f>
        <v/>
      </c>
    </row>
    <row r="463" hidden="1" outlineLevel="1" ht="16" customHeight="1">
      <c r="A463" s="13" t="n"/>
      <c r="B463" s="14" t="n"/>
      <c r="C463" s="15" t="n"/>
      <c r="D463" s="56" t="n"/>
      <c r="E463" s="56" t="n"/>
      <c r="F463" s="17" t="n"/>
      <c r="G463" s="18">
        <f>IF(D463="Tandem",10,IF(D463="TT",22,IF(D463="Quad",25,"")))</f>
        <v/>
      </c>
      <c r="H463" s="19">
        <f>IFERROR(IF(F463*G463=0,0,F463*G463),0)</f>
        <v/>
      </c>
      <c r="I463" s="20" t="n"/>
      <c r="J463" s="57" t="n"/>
      <c r="K463" s="14" t="n"/>
      <c r="L463" s="22" t="n"/>
      <c r="M463" s="58" t="n"/>
      <c r="N463" s="22" t="n"/>
      <c r="O463" s="24">
        <f>IFERROR(IF(OR(M463="",M463=0),0,H463*VALUE(SUBSTITUTE(M463&amp;"","$",""))),0)</f>
        <v/>
      </c>
    </row>
    <row r="464" hidden="1" outlineLevel="1" ht="16" customHeight="1">
      <c r="A464" s="13" t="n"/>
      <c r="B464" s="25" t="n"/>
      <c r="C464" s="26" t="n"/>
      <c r="D464" s="56" t="n"/>
      <c r="E464" s="56" t="n"/>
      <c r="F464" s="27" t="n"/>
      <c r="G464" s="18">
        <f>IF(D464="Tandem",10,IF(D464="TT",22,IF(D464="Quad",25,"")))</f>
        <v/>
      </c>
      <c r="H464" s="28">
        <f>IFERROR(IF(F464*G464=0,0,F464*G464),0)</f>
        <v/>
      </c>
      <c r="I464" s="29" t="n"/>
      <c r="J464" s="57" t="n"/>
      <c r="K464" s="25" t="n"/>
      <c r="L464" s="30" t="n"/>
      <c r="M464" s="58" t="n"/>
      <c r="N464" s="30" t="n"/>
      <c r="O464" s="24">
        <f>IFERROR(IF(OR(M464="",M464=0),0,H464*VALUE(SUBSTITUTE(M464&amp;"","$",""))),0)</f>
        <v/>
      </c>
    </row>
    <row r="465" hidden="1" outlineLevel="1" ht="16" customHeight="1">
      <c r="A465" s="13" t="n"/>
      <c r="B465" s="14" t="n"/>
      <c r="C465" s="15" t="n"/>
      <c r="D465" s="56" t="n"/>
      <c r="E465" s="56" t="n"/>
      <c r="F465" s="17" t="n"/>
      <c r="G465" s="18">
        <f>IF(D465="Tandem",10,IF(D465="TT",22,IF(D465="Quad",25,"")))</f>
        <v/>
      </c>
      <c r="H465" s="19">
        <f>IFERROR(IF(F465*G465=0,0,F465*G465),0)</f>
        <v/>
      </c>
      <c r="I465" s="20" t="n"/>
      <c r="J465" s="57" t="n"/>
      <c r="K465" s="14" t="n"/>
      <c r="L465" s="22" t="n"/>
      <c r="M465" s="58" t="n"/>
      <c r="N465" s="22" t="n"/>
      <c r="O465" s="24">
        <f>IFERROR(IF(OR(M465="",M465=0),0,H465*VALUE(SUBSTITUTE(M465&amp;"","$",""))),0)</f>
        <v/>
      </c>
    </row>
    <row r="466" hidden="1" outlineLevel="1" ht="16" customHeight="1">
      <c r="A466" s="13" t="n"/>
      <c r="B466" s="25" t="n"/>
      <c r="C466" s="26" t="n"/>
      <c r="D466" s="56" t="n"/>
      <c r="E466" s="56" t="n"/>
      <c r="F466" s="27" t="n"/>
      <c r="G466" s="18">
        <f>IF(D466="Tandem",10,IF(D466="TT",22,IF(D466="Quad",25,"")))</f>
        <v/>
      </c>
      <c r="H466" s="28">
        <f>IFERROR(IF(F466*G466=0,0,F466*G466),0)</f>
        <v/>
      </c>
      <c r="I466" s="29" t="n"/>
      <c r="J466" s="57" t="n"/>
      <c r="K466" s="25" t="n"/>
      <c r="L466" s="30" t="n"/>
      <c r="M466" s="58" t="n"/>
      <c r="N466" s="30" t="n"/>
      <c r="O466" s="24">
        <f>IFERROR(IF(OR(M466="",M466=0),0,H466*VALUE(SUBSTITUTE(M466&amp;"","$",""))),0)</f>
        <v/>
      </c>
    </row>
    <row r="467" hidden="1" outlineLevel="1" ht="16" customHeight="1">
      <c r="A467" s="13" t="n"/>
      <c r="B467" s="14" t="n"/>
      <c r="C467" s="15" t="n"/>
      <c r="D467" s="56" t="n"/>
      <c r="E467" s="56" t="n"/>
      <c r="F467" s="17" t="n"/>
      <c r="G467" s="18">
        <f>IF(D467="Tandem",10,IF(D467="TT",22,IF(D467="Quad",25,"")))</f>
        <v/>
      </c>
      <c r="H467" s="19">
        <f>IFERROR(IF(F467*G467=0,0,F467*G467),0)</f>
        <v/>
      </c>
      <c r="I467" s="20" t="n"/>
      <c r="J467" s="57" t="n"/>
      <c r="K467" s="14" t="n"/>
      <c r="L467" s="22" t="n"/>
      <c r="M467" s="58" t="n"/>
      <c r="N467" s="22" t="n"/>
      <c r="O467" s="24">
        <f>IFERROR(IF(OR(M467="",M467=0),0,H467*VALUE(SUBSTITUTE(M467&amp;"","$",""))),0)</f>
        <v/>
      </c>
    </row>
    <row r="468" hidden="1" outlineLevel="1" ht="16" customHeight="1">
      <c r="A468" s="13" t="n"/>
      <c r="B468" s="25" t="n"/>
      <c r="C468" s="26" t="n"/>
      <c r="D468" s="56" t="n"/>
      <c r="E468" s="56" t="n"/>
      <c r="F468" s="27" t="n"/>
      <c r="G468" s="18">
        <f>IF(D468="Tandem",10,IF(D468="TT",22,IF(D468="Quad",25,"")))</f>
        <v/>
      </c>
      <c r="H468" s="28">
        <f>IFERROR(IF(F468*G468=0,0,F468*G468),0)</f>
        <v/>
      </c>
      <c r="I468" s="29" t="n"/>
      <c r="J468" s="57" t="n"/>
      <c r="K468" s="25" t="n"/>
      <c r="L468" s="30" t="n"/>
      <c r="M468" s="58" t="n"/>
      <c r="N468" s="30" t="n"/>
      <c r="O468" s="24">
        <f>IFERROR(IF(OR(M468="",M468=0),0,H468*VALUE(SUBSTITUTE(M468&amp;"","$",""))),0)</f>
        <v/>
      </c>
    </row>
    <row r="469" hidden="1" outlineLevel="1" ht="16" customHeight="1">
      <c r="A469" s="13" t="n"/>
      <c r="B469" s="14" t="n"/>
      <c r="C469" s="15" t="n"/>
      <c r="D469" s="56" t="n"/>
      <c r="E469" s="56" t="n"/>
      <c r="F469" s="17" t="n"/>
      <c r="G469" s="18">
        <f>IF(D469="Tandem",10,IF(D469="TT",22,IF(D469="Quad",25,"")))</f>
        <v/>
      </c>
      <c r="H469" s="19">
        <f>IFERROR(IF(F469*G469=0,0,F469*G469),0)</f>
        <v/>
      </c>
      <c r="I469" s="20" t="n"/>
      <c r="J469" s="57" t="n"/>
      <c r="K469" s="14" t="n"/>
      <c r="L469" s="22" t="n"/>
      <c r="M469" s="58" t="n"/>
      <c r="N469" s="22" t="n"/>
      <c r="O469" s="24">
        <f>IFERROR(IF(OR(M469="",M469=0),0,H469*VALUE(SUBSTITUTE(M469&amp;"","$",""))),0)</f>
        <v/>
      </c>
    </row>
    <row r="470" hidden="1" outlineLevel="1" ht="16" customHeight="1">
      <c r="A470" s="13" t="n"/>
      <c r="B470" s="25" t="n"/>
      <c r="C470" s="26" t="n"/>
      <c r="D470" s="56" t="n"/>
      <c r="E470" s="56" t="n"/>
      <c r="F470" s="27" t="n"/>
      <c r="G470" s="18">
        <f>IF(D470="Tandem",10,IF(D470="TT",22,IF(D470="Quad",25,"")))</f>
        <v/>
      </c>
      <c r="H470" s="28">
        <f>IFERROR(IF(F470*G470=0,0,F470*G470),0)</f>
        <v/>
      </c>
      <c r="I470" s="29" t="n"/>
      <c r="J470" s="57" t="n"/>
      <c r="K470" s="25" t="n"/>
      <c r="L470" s="30" t="n"/>
      <c r="M470" s="58" t="n"/>
      <c r="N470" s="30" t="n"/>
      <c r="O470" s="24">
        <f>IFERROR(IF(OR(M470="",M470=0),0,H470*VALUE(SUBSTITUTE(M470&amp;"","$",""))),0)</f>
        <v/>
      </c>
    </row>
    <row r="471" hidden="1" outlineLevel="1" ht="16" customHeight="1">
      <c r="A471" s="13" t="n"/>
      <c r="B471" s="14" t="n"/>
      <c r="C471" s="15" t="n"/>
      <c r="D471" s="56" t="n"/>
      <c r="E471" s="56" t="n"/>
      <c r="F471" s="17" t="n"/>
      <c r="G471" s="18">
        <f>IF(D471="Tandem",10,IF(D471="TT",22,IF(D471="Quad",25,"")))</f>
        <v/>
      </c>
      <c r="H471" s="19">
        <f>IFERROR(IF(F471*G471=0,0,F471*G471),0)</f>
        <v/>
      </c>
      <c r="I471" s="20" t="n"/>
      <c r="J471" s="57" t="n"/>
      <c r="K471" s="14" t="n"/>
      <c r="L471" s="22" t="n"/>
      <c r="M471" s="58" t="n"/>
      <c r="N471" s="22" t="n"/>
      <c r="O471" s="24">
        <f>IFERROR(IF(OR(M471="",M471=0),0,H471*VALUE(SUBSTITUTE(M471&amp;"","$",""))),0)</f>
        <v/>
      </c>
    </row>
    <row r="472" hidden="1" outlineLevel="1" ht="16" customHeight="1">
      <c r="A472" s="13" t="n"/>
      <c r="B472" s="25" t="n"/>
      <c r="C472" s="26" t="n"/>
      <c r="D472" s="56" t="n"/>
      <c r="E472" s="56" t="n"/>
      <c r="F472" s="27" t="n"/>
      <c r="G472" s="18">
        <f>IF(D472="Tandem",10,IF(D472="TT",22,IF(D472="Quad",25,"")))</f>
        <v/>
      </c>
      <c r="H472" s="28">
        <f>IFERROR(IF(F472*G472=0,0,F472*G472),0)</f>
        <v/>
      </c>
      <c r="I472" s="29" t="n"/>
      <c r="J472" s="57" t="n"/>
      <c r="K472" s="25" t="n"/>
      <c r="L472" s="30" t="n"/>
      <c r="M472" s="58" t="n"/>
      <c r="N472" s="30" t="n"/>
      <c r="O472" s="24">
        <f>IFERROR(IF(OR(M472="",M472=0),0,H472*VALUE(SUBSTITUTE(M472&amp;"","$",""))),0)</f>
        <v/>
      </c>
    </row>
    <row r="473" hidden="1" outlineLevel="1" ht="16" customHeight="1">
      <c r="A473" s="13" t="n"/>
      <c r="B473" s="14" t="n"/>
      <c r="C473" s="15" t="n"/>
      <c r="D473" s="56" t="n"/>
      <c r="E473" s="56" t="n"/>
      <c r="F473" s="17" t="n"/>
      <c r="G473" s="18">
        <f>IF(D473="Tandem",10,IF(D473="TT",22,IF(D473="Quad",25,"")))</f>
        <v/>
      </c>
      <c r="H473" s="19">
        <f>IFERROR(IF(F473*G473=0,0,F473*G473),0)</f>
        <v/>
      </c>
      <c r="I473" s="20" t="n"/>
      <c r="J473" s="57" t="n"/>
      <c r="K473" s="14" t="n"/>
      <c r="L473" s="22" t="n"/>
      <c r="M473" s="58" t="n"/>
      <c r="N473" s="22" t="n"/>
      <c r="O473" s="24">
        <f>IFERROR(IF(OR(M473="",M473=0),0,H473*VALUE(SUBSTITUTE(M473&amp;"","$",""))),0)</f>
        <v/>
      </c>
    </row>
    <row r="474" hidden="1" outlineLevel="1" ht="16" customHeight="1">
      <c r="A474" s="13" t="n"/>
      <c r="B474" s="25" t="n"/>
      <c r="C474" s="26" t="n"/>
      <c r="D474" s="56" t="n"/>
      <c r="E474" s="56" t="n"/>
      <c r="F474" s="27" t="n"/>
      <c r="G474" s="18">
        <f>IF(D474="Tandem",10,IF(D474="TT",22,IF(D474="Quad",25,"")))</f>
        <v/>
      </c>
      <c r="H474" s="28">
        <f>IFERROR(IF(F474*G474=0,0,F474*G474),0)</f>
        <v/>
      </c>
      <c r="I474" s="29" t="n"/>
      <c r="J474" s="57" t="n"/>
      <c r="K474" s="25" t="n"/>
      <c r="L474" s="30" t="n"/>
      <c r="M474" s="58" t="n"/>
      <c r="N474" s="30" t="n"/>
      <c r="O474" s="24">
        <f>IFERROR(IF(OR(M474="",M474=0),0,H474*VALUE(SUBSTITUTE(M474&amp;"","$",""))),0)</f>
        <v/>
      </c>
    </row>
    <row r="475" hidden="1" outlineLevel="1" ht="16" customHeight="1">
      <c r="A475" s="13" t="n"/>
      <c r="B475" s="14" t="n"/>
      <c r="C475" s="15" t="n"/>
      <c r="D475" s="56" t="n"/>
      <c r="E475" s="56" t="n"/>
      <c r="F475" s="17" t="n"/>
      <c r="G475" s="18">
        <f>IF(D475="Tandem",10,IF(D475="TT",22,IF(D475="Quad",25,"")))</f>
        <v/>
      </c>
      <c r="H475" s="19">
        <f>IFERROR(IF(F475*G475=0,0,F475*G475),0)</f>
        <v/>
      </c>
      <c r="I475" s="20" t="n"/>
      <c r="J475" s="57" t="n"/>
      <c r="K475" s="14" t="n"/>
      <c r="L475" s="22" t="n"/>
      <c r="M475" s="58" t="n"/>
      <c r="N475" s="22" t="n"/>
      <c r="O475" s="24">
        <f>IFERROR(IF(OR(M475="",M475=0),0,H475*VALUE(SUBSTITUTE(M475&amp;"","$",""))),0)</f>
        <v/>
      </c>
    </row>
    <row r="476" hidden="1" outlineLevel="1" ht="16" customHeight="1">
      <c r="A476" s="13" t="n"/>
      <c r="B476" s="25" t="n"/>
      <c r="C476" s="26" t="n"/>
      <c r="D476" s="56" t="n"/>
      <c r="E476" s="56" t="n"/>
      <c r="F476" s="27" t="n"/>
      <c r="G476" s="18">
        <f>IF(D476="Tandem",10,IF(D476="TT",22,IF(D476="Quad",25,"")))</f>
        <v/>
      </c>
      <c r="H476" s="28">
        <f>IFERROR(IF(F476*G476=0,0,F476*G476),0)</f>
        <v/>
      </c>
      <c r="I476" s="29" t="n"/>
      <c r="J476" s="57" t="n"/>
      <c r="K476" s="25" t="n"/>
      <c r="L476" s="30" t="n"/>
      <c r="M476" s="58" t="n"/>
      <c r="N476" s="30" t="n"/>
      <c r="O476" s="24">
        <f>IFERROR(IF(OR(M476="",M476=0),0,H476*VALUE(SUBSTITUTE(M476&amp;"","$",""))),0)</f>
        <v/>
      </c>
    </row>
    <row r="477" hidden="1" outlineLevel="1" ht="16" customHeight="1">
      <c r="A477" s="13" t="n"/>
      <c r="B477" s="14" t="n"/>
      <c r="C477" s="15" t="n"/>
      <c r="D477" s="56" t="n"/>
      <c r="E477" s="56" t="n"/>
      <c r="F477" s="17" t="n"/>
      <c r="G477" s="18">
        <f>IF(D477="Tandem",10,IF(D477="TT",22,IF(D477="Quad",25,"")))</f>
        <v/>
      </c>
      <c r="H477" s="19">
        <f>IFERROR(IF(F477*G477=0,0,F477*G477),0)</f>
        <v/>
      </c>
      <c r="I477" s="20" t="n"/>
      <c r="J477" s="57" t="n"/>
      <c r="K477" s="14" t="n"/>
      <c r="L477" s="22" t="n"/>
      <c r="M477" s="58" t="n"/>
      <c r="N477" s="22" t="n"/>
      <c r="O477" s="24">
        <f>IFERROR(IF(OR(M477="",M477=0),0,H477*VALUE(SUBSTITUTE(M477&amp;"","$",""))),0)</f>
        <v/>
      </c>
    </row>
    <row r="478" hidden="1" outlineLevel="1" ht="16" customHeight="1">
      <c r="A478" s="13" t="n"/>
      <c r="B478" s="25" t="n"/>
      <c r="C478" s="26" t="n"/>
      <c r="D478" s="56" t="n"/>
      <c r="E478" s="56" t="n"/>
      <c r="F478" s="27" t="n"/>
      <c r="G478" s="18">
        <f>IF(D478="Tandem",10,IF(D478="TT",22,IF(D478="Quad",25,"")))</f>
        <v/>
      </c>
      <c r="H478" s="28">
        <f>IFERROR(IF(F478*G478=0,0,F478*G478),0)</f>
        <v/>
      </c>
      <c r="I478" s="29" t="n"/>
      <c r="J478" s="57" t="n"/>
      <c r="K478" s="25" t="n"/>
      <c r="L478" s="30" t="n"/>
      <c r="M478" s="58" t="n"/>
      <c r="N478" s="30" t="n"/>
      <c r="O478" s="24">
        <f>IFERROR(IF(OR(M478="",M478=0),0,H478*VALUE(SUBSTITUTE(M478&amp;"","$",""))),0)</f>
        <v/>
      </c>
    </row>
    <row r="479" hidden="1" outlineLevel="1" ht="16" customHeight="1">
      <c r="A479" s="13" t="n"/>
      <c r="B479" s="14" t="n"/>
      <c r="C479" s="15" t="n"/>
      <c r="D479" s="56" t="n"/>
      <c r="E479" s="56" t="n"/>
      <c r="F479" s="17" t="n"/>
      <c r="G479" s="18">
        <f>IF(D479="Tandem",10,IF(D479="TT",22,IF(D479="Quad",25,"")))</f>
        <v/>
      </c>
      <c r="H479" s="19">
        <f>IFERROR(IF(F479*G479=0,0,F479*G479),0)</f>
        <v/>
      </c>
      <c r="I479" s="20" t="n"/>
      <c r="J479" s="57" t="n"/>
      <c r="K479" s="14" t="n"/>
      <c r="L479" s="22" t="n"/>
      <c r="M479" s="58" t="n"/>
      <c r="N479" s="22" t="n"/>
      <c r="O479" s="24">
        <f>IFERROR(IF(OR(M479="",M479=0),0,H479*VALUE(SUBSTITUTE(M479&amp;"","$",""))),0)</f>
        <v/>
      </c>
    </row>
    <row r="480" hidden="1" outlineLevel="1" ht="16" customHeight="1">
      <c r="A480" s="13" t="n"/>
      <c r="B480" s="25" t="n"/>
      <c r="C480" s="26" t="n"/>
      <c r="D480" s="56" t="n"/>
      <c r="E480" s="56" t="n"/>
      <c r="F480" s="27" t="n"/>
      <c r="G480" s="18">
        <f>IF(D480="Tandem",10,IF(D480="TT",22,IF(D480="Quad",25,"")))</f>
        <v/>
      </c>
      <c r="H480" s="28">
        <f>IFERROR(IF(F480*G480=0,0,F480*G480),0)</f>
        <v/>
      </c>
      <c r="I480" s="29" t="n"/>
      <c r="J480" s="57" t="n"/>
      <c r="K480" s="25" t="n"/>
      <c r="L480" s="30" t="n"/>
      <c r="M480" s="58" t="n"/>
      <c r="N480" s="30" t="n"/>
      <c r="O480" s="24">
        <f>IFERROR(IF(OR(M480="",M480=0),0,H480*VALUE(SUBSTITUTE(M480&amp;"","$",""))),0)</f>
        <v/>
      </c>
    </row>
    <row r="481" hidden="1" outlineLevel="1" ht="20" customHeight="1">
      <c r="A481" s="59" t="inlineStr">
        <is>
          <t>Daily Notes:</t>
        </is>
      </c>
      <c r="B481" s="54" t="n"/>
      <c r="C481" s="54" t="n"/>
      <c r="D481" s="54" t="n"/>
      <c r="E481" s="54" t="n"/>
      <c r="F481" s="54" t="n"/>
      <c r="G481" s="54" t="n"/>
      <c r="H481" s="54" t="n"/>
      <c r="I481" s="54" t="n"/>
      <c r="J481" s="54" t="n"/>
      <c r="K481" s="54" t="n"/>
      <c r="L481" s="54" t="n"/>
      <c r="M481" s="54" t="n"/>
      <c r="N481" s="50" t="n"/>
      <c r="O481" s="60" t="n"/>
    </row>
    <row r="482" hidden="1" outlineLevel="1" ht="18" customHeight="1">
      <c r="A482" s="32" t="inlineStr">
        <is>
          <t>DAILY TOTAL</t>
        </is>
      </c>
      <c r="B482" s="54" t="n"/>
      <c r="C482" s="54" t="n"/>
      <c r="D482" s="54" t="n"/>
      <c r="E482" s="54" t="n"/>
      <c r="F482" s="54" t="n"/>
      <c r="G482" s="50" t="n"/>
      <c r="H482" s="34">
        <f>SUM(H451:H480)</f>
        <v/>
      </c>
      <c r="I482" s="35">
        <f>SUM(I451:I480)</f>
        <v/>
      </c>
      <c r="J482" s="61" t="n"/>
      <c r="K482" s="61" t="n"/>
      <c r="L482" s="61" t="n"/>
      <c r="M482" s="36">
        <f>SUM(O451:O480)</f>
        <v/>
      </c>
      <c r="N482" s="61" t="n"/>
      <c r="O482" s="62" t="n"/>
    </row>
    <row r="483" hidden="1" outlineLevel="1" ht="18" customHeight="1">
      <c r="A483" s="2" t="inlineStr">
        <is>
          <t>▶ RUNNING TOTAL</t>
        </is>
      </c>
      <c r="B483" s="54" t="n"/>
      <c r="C483" s="54" t="n"/>
      <c r="D483" s="54" t="n"/>
      <c r="E483" s="54" t="n"/>
      <c r="F483" s="54" t="n"/>
      <c r="G483" s="50" t="n"/>
      <c r="H483" s="37">
        <f>H50+H86+H122+H158+H194+H230+H266+H302+H338+H374+H410+H446+H482</f>
        <v/>
      </c>
      <c r="I483" s="63" t="n"/>
      <c r="J483" s="63" t="n"/>
      <c r="K483" s="63" t="n"/>
      <c r="L483" s="63" t="n"/>
      <c r="M483" s="38">
        <f>M50+M86+M122+M158+M194+M230+M266+M302+M338+M374+M410+M446+M482</f>
        <v/>
      </c>
      <c r="N483" s="63" t="n"/>
      <c r="O483" s="64" t="n"/>
    </row>
    <row r="484" hidden="1" outlineLevel="1" ht="8" customHeight="1"/>
    <row r="485" ht="22" customHeight="1">
      <c r="A485" s="55" t="inlineStr">
        <is>
          <t>DAY 14</t>
        </is>
      </c>
      <c r="B485" s="54" t="n"/>
      <c r="C485" s="54" t="n"/>
      <c r="D485" s="54" t="n"/>
      <c r="E485" s="54" t="n"/>
      <c r="F485" s="54" t="n"/>
      <c r="G485" s="54" t="n"/>
      <c r="H485" s="54" t="n"/>
      <c r="I485" s="54" t="n"/>
      <c r="J485" s="54" t="n"/>
      <c r="K485" s="54" t="n"/>
      <c r="L485" s="54" t="n"/>
      <c r="M485" s="54" t="n"/>
      <c r="N485" s="50" t="n"/>
    </row>
    <row r="486" hidden="1" outlineLevel="1" ht="28" customHeight="1">
      <c r="A486" s="12" t="inlineStr">
        <is>
          <t>Date</t>
        </is>
      </c>
      <c r="B486" s="12" t="inlineStr">
        <is>
          <t>Cartage Company</t>
        </is>
      </c>
      <c r="C486" s="12" t="inlineStr">
        <is>
          <t>Truck Rego</t>
        </is>
      </c>
      <c r="D486" s="12" t="inlineStr">
        <is>
          <t>Truck Type</t>
        </is>
      </c>
      <c r="E486" s="12" t="inlineStr">
        <is>
          <t>Exp / Imp</t>
        </is>
      </c>
      <c r="F486" s="12" t="inlineStr">
        <is>
          <t>Loads</t>
        </is>
      </c>
      <c r="G486" s="12" t="inlineStr">
        <is>
          <t>m³ / Load</t>
        </is>
      </c>
      <c r="H486" s="12" t="inlineStr">
        <is>
          <t>Total m³</t>
        </is>
      </c>
      <c r="I486" s="12" t="inlineStr">
        <is>
          <t>Hours</t>
        </is>
      </c>
      <c r="J486" s="12" t="inlineStr">
        <is>
          <t>Material</t>
        </is>
      </c>
      <c r="K486" s="12" t="inlineStr">
        <is>
          <t>Tip Site</t>
        </is>
      </c>
      <c r="L486" s="12" t="inlineStr">
        <is>
          <t>Docket #</t>
        </is>
      </c>
      <c r="M486" s="12" t="inlineStr">
        <is>
          <t>Rate Paid ($/m³)</t>
        </is>
      </c>
      <c r="N486" s="12" t="inlineStr">
        <is>
          <t>Invoice #</t>
        </is>
      </c>
    </row>
    <row r="487" hidden="1" outlineLevel="1" ht="16" customHeight="1">
      <c r="A487" s="13" t="n"/>
      <c r="B487" s="14" t="n"/>
      <c r="C487" s="15" t="n"/>
      <c r="D487" s="56" t="n"/>
      <c r="E487" s="56" t="n"/>
      <c r="F487" s="17" t="n"/>
      <c r="G487" s="18">
        <f>IF(D487="Tandem",10,IF(D487="TT",22,IF(D487="Quad",25,"")))</f>
        <v/>
      </c>
      <c r="H487" s="19">
        <f>IFERROR(IF(F487*G487=0,0,F487*G487),0)</f>
        <v/>
      </c>
      <c r="I487" s="20" t="n"/>
      <c r="J487" s="57" t="n"/>
      <c r="K487" s="14" t="n"/>
      <c r="L487" s="22" t="n"/>
      <c r="M487" s="58" t="n"/>
      <c r="N487" s="22" t="n"/>
      <c r="O487" s="24">
        <f>IFERROR(IF(OR(M487="",M487=0),0,H487*VALUE(SUBSTITUTE(M487&amp;"","$",""))),0)</f>
        <v/>
      </c>
    </row>
    <row r="488" hidden="1" outlineLevel="1" ht="16" customHeight="1">
      <c r="A488" s="13" t="n"/>
      <c r="B488" s="25" t="n"/>
      <c r="C488" s="26" t="n"/>
      <c r="D488" s="56" t="n"/>
      <c r="E488" s="56" t="n"/>
      <c r="F488" s="27" t="n"/>
      <c r="G488" s="18">
        <f>IF(D488="Tandem",10,IF(D488="TT",22,IF(D488="Quad",25,"")))</f>
        <v/>
      </c>
      <c r="H488" s="28">
        <f>IFERROR(IF(F488*G488=0,0,F488*G488),0)</f>
        <v/>
      </c>
      <c r="I488" s="29" t="n"/>
      <c r="J488" s="57" t="n"/>
      <c r="K488" s="25" t="n"/>
      <c r="L488" s="30" t="n"/>
      <c r="M488" s="58" t="n"/>
      <c r="N488" s="30" t="n"/>
      <c r="O488" s="24">
        <f>IFERROR(IF(OR(M488="",M488=0),0,H488*VALUE(SUBSTITUTE(M488&amp;"","$",""))),0)</f>
        <v/>
      </c>
    </row>
    <row r="489" hidden="1" outlineLevel="1" ht="16" customHeight="1">
      <c r="A489" s="13" t="n"/>
      <c r="B489" s="14" t="n"/>
      <c r="C489" s="15" t="n"/>
      <c r="D489" s="56" t="n"/>
      <c r="E489" s="56" t="n"/>
      <c r="F489" s="17" t="n"/>
      <c r="G489" s="18">
        <f>IF(D489="Tandem",10,IF(D489="TT",22,IF(D489="Quad",25,"")))</f>
        <v/>
      </c>
      <c r="H489" s="19">
        <f>IFERROR(IF(F489*G489=0,0,F489*G489),0)</f>
        <v/>
      </c>
      <c r="I489" s="20" t="n"/>
      <c r="J489" s="57" t="n"/>
      <c r="K489" s="14" t="n"/>
      <c r="L489" s="22" t="n"/>
      <c r="M489" s="58" t="n"/>
      <c r="N489" s="22" t="n"/>
      <c r="O489" s="24">
        <f>IFERROR(IF(OR(M489="",M489=0),0,H489*VALUE(SUBSTITUTE(M489&amp;"","$",""))),0)</f>
        <v/>
      </c>
    </row>
    <row r="490" hidden="1" outlineLevel="1" ht="16" customHeight="1">
      <c r="A490" s="13" t="n"/>
      <c r="B490" s="25" t="n"/>
      <c r="C490" s="26" t="n"/>
      <c r="D490" s="56" t="n"/>
      <c r="E490" s="56" t="n"/>
      <c r="F490" s="27" t="n"/>
      <c r="G490" s="18">
        <f>IF(D490="Tandem",10,IF(D490="TT",22,IF(D490="Quad",25,"")))</f>
        <v/>
      </c>
      <c r="H490" s="28">
        <f>IFERROR(IF(F490*G490=0,0,F490*G490),0)</f>
        <v/>
      </c>
      <c r="I490" s="29" t="n"/>
      <c r="J490" s="57" t="n"/>
      <c r="K490" s="25" t="n"/>
      <c r="L490" s="30" t="n"/>
      <c r="M490" s="58" t="n"/>
      <c r="N490" s="30" t="n"/>
      <c r="O490" s="24">
        <f>IFERROR(IF(OR(M490="",M490=0),0,H490*VALUE(SUBSTITUTE(M490&amp;"","$",""))),0)</f>
        <v/>
      </c>
    </row>
    <row r="491" hidden="1" outlineLevel="1" ht="16" customHeight="1">
      <c r="A491" s="13" t="n"/>
      <c r="B491" s="14" t="n"/>
      <c r="C491" s="15" t="n"/>
      <c r="D491" s="56" t="n"/>
      <c r="E491" s="56" t="n"/>
      <c r="F491" s="17" t="n"/>
      <c r="G491" s="18">
        <f>IF(D491="Tandem",10,IF(D491="TT",22,IF(D491="Quad",25,"")))</f>
        <v/>
      </c>
      <c r="H491" s="19">
        <f>IFERROR(IF(F491*G491=0,0,F491*G491),0)</f>
        <v/>
      </c>
      <c r="I491" s="20" t="n"/>
      <c r="J491" s="57" t="n"/>
      <c r="K491" s="14" t="n"/>
      <c r="L491" s="22" t="n"/>
      <c r="M491" s="58" t="n"/>
      <c r="N491" s="22" t="n"/>
      <c r="O491" s="24">
        <f>IFERROR(IF(OR(M491="",M491=0),0,H491*VALUE(SUBSTITUTE(M491&amp;"","$",""))),0)</f>
        <v/>
      </c>
    </row>
    <row r="492" hidden="1" outlineLevel="1" ht="16" customHeight="1">
      <c r="A492" s="13" t="n"/>
      <c r="B492" s="25" t="n"/>
      <c r="C492" s="26" t="n"/>
      <c r="D492" s="56" t="n"/>
      <c r="E492" s="56" t="n"/>
      <c r="F492" s="27" t="n"/>
      <c r="G492" s="18">
        <f>IF(D492="Tandem",10,IF(D492="TT",22,IF(D492="Quad",25,"")))</f>
        <v/>
      </c>
      <c r="H492" s="28">
        <f>IFERROR(IF(F492*G492=0,0,F492*G492),0)</f>
        <v/>
      </c>
      <c r="I492" s="29" t="n"/>
      <c r="J492" s="57" t="n"/>
      <c r="K492" s="25" t="n"/>
      <c r="L492" s="30" t="n"/>
      <c r="M492" s="58" t="n"/>
      <c r="N492" s="30" t="n"/>
      <c r="O492" s="24">
        <f>IFERROR(IF(OR(M492="",M492=0),0,H492*VALUE(SUBSTITUTE(M492&amp;"","$",""))),0)</f>
        <v/>
      </c>
    </row>
    <row r="493" hidden="1" outlineLevel="1" ht="16" customHeight="1">
      <c r="A493" s="13" t="n"/>
      <c r="B493" s="14" t="n"/>
      <c r="C493" s="15" t="n"/>
      <c r="D493" s="56" t="n"/>
      <c r="E493" s="56" t="n"/>
      <c r="F493" s="17" t="n"/>
      <c r="G493" s="18">
        <f>IF(D493="Tandem",10,IF(D493="TT",22,IF(D493="Quad",25,"")))</f>
        <v/>
      </c>
      <c r="H493" s="19">
        <f>IFERROR(IF(F493*G493=0,0,F493*G493),0)</f>
        <v/>
      </c>
      <c r="I493" s="20" t="n"/>
      <c r="J493" s="57" t="n"/>
      <c r="K493" s="14" t="n"/>
      <c r="L493" s="22" t="n"/>
      <c r="M493" s="58" t="n"/>
      <c r="N493" s="22" t="n"/>
      <c r="O493" s="24">
        <f>IFERROR(IF(OR(M493="",M493=0),0,H493*VALUE(SUBSTITUTE(M493&amp;"","$",""))),0)</f>
        <v/>
      </c>
    </row>
    <row r="494" hidden="1" outlineLevel="1" ht="16" customHeight="1">
      <c r="A494" s="13" t="n"/>
      <c r="B494" s="25" t="n"/>
      <c r="C494" s="26" t="n"/>
      <c r="D494" s="56" t="n"/>
      <c r="E494" s="56" t="n"/>
      <c r="F494" s="27" t="n"/>
      <c r="G494" s="18">
        <f>IF(D494="Tandem",10,IF(D494="TT",22,IF(D494="Quad",25,"")))</f>
        <v/>
      </c>
      <c r="H494" s="28">
        <f>IFERROR(IF(F494*G494=0,0,F494*G494),0)</f>
        <v/>
      </c>
      <c r="I494" s="29" t="n"/>
      <c r="J494" s="57" t="n"/>
      <c r="K494" s="25" t="n"/>
      <c r="L494" s="30" t="n"/>
      <c r="M494" s="58" t="n"/>
      <c r="N494" s="30" t="n"/>
      <c r="O494" s="24">
        <f>IFERROR(IF(OR(M494="",M494=0),0,H494*VALUE(SUBSTITUTE(M494&amp;"","$",""))),0)</f>
        <v/>
      </c>
    </row>
    <row r="495" hidden="1" outlineLevel="1" ht="16" customHeight="1">
      <c r="A495" s="13" t="n"/>
      <c r="B495" s="14" t="n"/>
      <c r="C495" s="15" t="n"/>
      <c r="D495" s="56" t="n"/>
      <c r="E495" s="56" t="n"/>
      <c r="F495" s="17" t="n"/>
      <c r="G495" s="18">
        <f>IF(D495="Tandem",10,IF(D495="TT",22,IF(D495="Quad",25,"")))</f>
        <v/>
      </c>
      <c r="H495" s="19">
        <f>IFERROR(IF(F495*G495=0,0,F495*G495),0)</f>
        <v/>
      </c>
      <c r="I495" s="20" t="n"/>
      <c r="J495" s="57" t="n"/>
      <c r="K495" s="14" t="n"/>
      <c r="L495" s="22" t="n"/>
      <c r="M495" s="58" t="n"/>
      <c r="N495" s="22" t="n"/>
      <c r="O495" s="24">
        <f>IFERROR(IF(OR(M495="",M495=0),0,H495*VALUE(SUBSTITUTE(M495&amp;"","$",""))),0)</f>
        <v/>
      </c>
    </row>
    <row r="496" hidden="1" outlineLevel="1" ht="16" customHeight="1">
      <c r="A496" s="13" t="n"/>
      <c r="B496" s="25" t="n"/>
      <c r="C496" s="26" t="n"/>
      <c r="D496" s="56" t="n"/>
      <c r="E496" s="56" t="n"/>
      <c r="F496" s="27" t="n"/>
      <c r="G496" s="18">
        <f>IF(D496="Tandem",10,IF(D496="TT",22,IF(D496="Quad",25,"")))</f>
        <v/>
      </c>
      <c r="H496" s="28">
        <f>IFERROR(IF(F496*G496=0,0,F496*G496),0)</f>
        <v/>
      </c>
      <c r="I496" s="29" t="n"/>
      <c r="J496" s="57" t="n"/>
      <c r="K496" s="25" t="n"/>
      <c r="L496" s="30" t="n"/>
      <c r="M496" s="58" t="n"/>
      <c r="N496" s="30" t="n"/>
      <c r="O496" s="24">
        <f>IFERROR(IF(OR(M496="",M496=0),0,H496*VALUE(SUBSTITUTE(M496&amp;"","$",""))),0)</f>
        <v/>
      </c>
    </row>
    <row r="497" hidden="1" outlineLevel="1" ht="16" customHeight="1">
      <c r="A497" s="13" t="n"/>
      <c r="B497" s="14" t="n"/>
      <c r="C497" s="15" t="n"/>
      <c r="D497" s="56" t="n"/>
      <c r="E497" s="56" t="n"/>
      <c r="F497" s="17" t="n"/>
      <c r="G497" s="18">
        <f>IF(D497="Tandem",10,IF(D497="TT",22,IF(D497="Quad",25,"")))</f>
        <v/>
      </c>
      <c r="H497" s="19">
        <f>IFERROR(IF(F497*G497=0,0,F497*G497),0)</f>
        <v/>
      </c>
      <c r="I497" s="20" t="n"/>
      <c r="J497" s="57" t="n"/>
      <c r="K497" s="14" t="n"/>
      <c r="L497" s="22" t="n"/>
      <c r="M497" s="58" t="n"/>
      <c r="N497" s="22" t="n"/>
      <c r="O497" s="24">
        <f>IFERROR(IF(OR(M497="",M497=0),0,H497*VALUE(SUBSTITUTE(M497&amp;"","$",""))),0)</f>
        <v/>
      </c>
    </row>
    <row r="498" hidden="1" outlineLevel="1" ht="16" customHeight="1">
      <c r="A498" s="13" t="n"/>
      <c r="B498" s="25" t="n"/>
      <c r="C498" s="26" t="n"/>
      <c r="D498" s="56" t="n"/>
      <c r="E498" s="56" t="n"/>
      <c r="F498" s="27" t="n"/>
      <c r="G498" s="18">
        <f>IF(D498="Tandem",10,IF(D498="TT",22,IF(D498="Quad",25,"")))</f>
        <v/>
      </c>
      <c r="H498" s="28">
        <f>IFERROR(IF(F498*G498=0,0,F498*G498),0)</f>
        <v/>
      </c>
      <c r="I498" s="29" t="n"/>
      <c r="J498" s="57" t="n"/>
      <c r="K498" s="25" t="n"/>
      <c r="L498" s="30" t="n"/>
      <c r="M498" s="58" t="n"/>
      <c r="N498" s="30" t="n"/>
      <c r="O498" s="24">
        <f>IFERROR(IF(OR(M498="",M498=0),0,H498*VALUE(SUBSTITUTE(M498&amp;"","$",""))),0)</f>
        <v/>
      </c>
    </row>
    <row r="499" hidden="1" outlineLevel="1" ht="16" customHeight="1">
      <c r="A499" s="13" t="n"/>
      <c r="B499" s="14" t="n"/>
      <c r="C499" s="15" t="n"/>
      <c r="D499" s="56" t="n"/>
      <c r="E499" s="56" t="n"/>
      <c r="F499" s="17" t="n"/>
      <c r="G499" s="18">
        <f>IF(D499="Tandem",10,IF(D499="TT",22,IF(D499="Quad",25,"")))</f>
        <v/>
      </c>
      <c r="H499" s="19">
        <f>IFERROR(IF(F499*G499=0,0,F499*G499),0)</f>
        <v/>
      </c>
      <c r="I499" s="20" t="n"/>
      <c r="J499" s="57" t="n"/>
      <c r="K499" s="14" t="n"/>
      <c r="L499" s="22" t="n"/>
      <c r="M499" s="58" t="n"/>
      <c r="N499" s="22" t="n"/>
      <c r="O499" s="24">
        <f>IFERROR(IF(OR(M499="",M499=0),0,H499*VALUE(SUBSTITUTE(M499&amp;"","$",""))),0)</f>
        <v/>
      </c>
    </row>
    <row r="500" hidden="1" outlineLevel="1" ht="16" customHeight="1">
      <c r="A500" s="13" t="n"/>
      <c r="B500" s="25" t="n"/>
      <c r="C500" s="26" t="n"/>
      <c r="D500" s="56" t="n"/>
      <c r="E500" s="56" t="n"/>
      <c r="F500" s="27" t="n"/>
      <c r="G500" s="18">
        <f>IF(D500="Tandem",10,IF(D500="TT",22,IF(D500="Quad",25,"")))</f>
        <v/>
      </c>
      <c r="H500" s="28">
        <f>IFERROR(IF(F500*G500=0,0,F500*G500),0)</f>
        <v/>
      </c>
      <c r="I500" s="29" t="n"/>
      <c r="J500" s="57" t="n"/>
      <c r="K500" s="25" t="n"/>
      <c r="L500" s="30" t="n"/>
      <c r="M500" s="58" t="n"/>
      <c r="N500" s="30" t="n"/>
      <c r="O500" s="24">
        <f>IFERROR(IF(OR(M500="",M500=0),0,H500*VALUE(SUBSTITUTE(M500&amp;"","$",""))),0)</f>
        <v/>
      </c>
    </row>
    <row r="501" hidden="1" outlineLevel="1" ht="16" customHeight="1">
      <c r="A501" s="13" t="n"/>
      <c r="B501" s="14" t="n"/>
      <c r="C501" s="15" t="n"/>
      <c r="D501" s="56" t="n"/>
      <c r="E501" s="56" t="n"/>
      <c r="F501" s="17" t="n"/>
      <c r="G501" s="18">
        <f>IF(D501="Tandem",10,IF(D501="TT",22,IF(D501="Quad",25,"")))</f>
        <v/>
      </c>
      <c r="H501" s="19">
        <f>IFERROR(IF(F501*G501=0,0,F501*G501),0)</f>
        <v/>
      </c>
      <c r="I501" s="20" t="n"/>
      <c r="J501" s="57" t="n"/>
      <c r="K501" s="14" t="n"/>
      <c r="L501" s="22" t="n"/>
      <c r="M501" s="58" t="n"/>
      <c r="N501" s="22" t="n"/>
      <c r="O501" s="24">
        <f>IFERROR(IF(OR(M501="",M501=0),0,H501*VALUE(SUBSTITUTE(M501&amp;"","$",""))),0)</f>
        <v/>
      </c>
    </row>
    <row r="502" hidden="1" outlineLevel="1" ht="16" customHeight="1">
      <c r="A502" s="13" t="n"/>
      <c r="B502" s="25" t="n"/>
      <c r="C502" s="26" t="n"/>
      <c r="D502" s="56" t="n"/>
      <c r="E502" s="56" t="n"/>
      <c r="F502" s="27" t="n"/>
      <c r="G502" s="18">
        <f>IF(D502="Tandem",10,IF(D502="TT",22,IF(D502="Quad",25,"")))</f>
        <v/>
      </c>
      <c r="H502" s="28">
        <f>IFERROR(IF(F502*G502=0,0,F502*G502),0)</f>
        <v/>
      </c>
      <c r="I502" s="29" t="n"/>
      <c r="J502" s="57" t="n"/>
      <c r="K502" s="25" t="n"/>
      <c r="L502" s="30" t="n"/>
      <c r="M502" s="58" t="n"/>
      <c r="N502" s="30" t="n"/>
      <c r="O502" s="24">
        <f>IFERROR(IF(OR(M502="",M502=0),0,H502*VALUE(SUBSTITUTE(M502&amp;"","$",""))),0)</f>
        <v/>
      </c>
    </row>
    <row r="503" hidden="1" outlineLevel="1" ht="16" customHeight="1">
      <c r="A503" s="13" t="n"/>
      <c r="B503" s="14" t="n"/>
      <c r="C503" s="15" t="n"/>
      <c r="D503" s="56" t="n"/>
      <c r="E503" s="56" t="n"/>
      <c r="F503" s="17" t="n"/>
      <c r="G503" s="18">
        <f>IF(D503="Tandem",10,IF(D503="TT",22,IF(D503="Quad",25,"")))</f>
        <v/>
      </c>
      <c r="H503" s="19">
        <f>IFERROR(IF(F503*G503=0,0,F503*G503),0)</f>
        <v/>
      </c>
      <c r="I503" s="20" t="n"/>
      <c r="J503" s="57" t="n"/>
      <c r="K503" s="14" t="n"/>
      <c r="L503" s="22" t="n"/>
      <c r="M503" s="58" t="n"/>
      <c r="N503" s="22" t="n"/>
      <c r="O503" s="24">
        <f>IFERROR(IF(OR(M503="",M503=0),0,H503*VALUE(SUBSTITUTE(M503&amp;"","$",""))),0)</f>
        <v/>
      </c>
    </row>
    <row r="504" hidden="1" outlineLevel="1" ht="16" customHeight="1">
      <c r="A504" s="13" t="n"/>
      <c r="B504" s="25" t="n"/>
      <c r="C504" s="26" t="n"/>
      <c r="D504" s="56" t="n"/>
      <c r="E504" s="56" t="n"/>
      <c r="F504" s="27" t="n"/>
      <c r="G504" s="18">
        <f>IF(D504="Tandem",10,IF(D504="TT",22,IF(D504="Quad",25,"")))</f>
        <v/>
      </c>
      <c r="H504" s="28">
        <f>IFERROR(IF(F504*G504=0,0,F504*G504),0)</f>
        <v/>
      </c>
      <c r="I504" s="29" t="n"/>
      <c r="J504" s="57" t="n"/>
      <c r="K504" s="25" t="n"/>
      <c r="L504" s="30" t="n"/>
      <c r="M504" s="58" t="n"/>
      <c r="N504" s="30" t="n"/>
      <c r="O504" s="24">
        <f>IFERROR(IF(OR(M504="",M504=0),0,H504*VALUE(SUBSTITUTE(M504&amp;"","$",""))),0)</f>
        <v/>
      </c>
    </row>
    <row r="505" hidden="1" outlineLevel="1" ht="16" customHeight="1">
      <c r="A505" s="13" t="n"/>
      <c r="B505" s="14" t="n"/>
      <c r="C505" s="15" t="n"/>
      <c r="D505" s="56" t="n"/>
      <c r="E505" s="56" t="n"/>
      <c r="F505" s="17" t="n"/>
      <c r="G505" s="18">
        <f>IF(D505="Tandem",10,IF(D505="TT",22,IF(D505="Quad",25,"")))</f>
        <v/>
      </c>
      <c r="H505" s="19">
        <f>IFERROR(IF(F505*G505=0,0,F505*G505),0)</f>
        <v/>
      </c>
      <c r="I505" s="20" t="n"/>
      <c r="J505" s="57" t="n"/>
      <c r="K505" s="14" t="n"/>
      <c r="L505" s="22" t="n"/>
      <c r="M505" s="58" t="n"/>
      <c r="N505" s="22" t="n"/>
      <c r="O505" s="24">
        <f>IFERROR(IF(OR(M505="",M505=0),0,H505*VALUE(SUBSTITUTE(M505&amp;"","$",""))),0)</f>
        <v/>
      </c>
    </row>
    <row r="506" hidden="1" outlineLevel="1" ht="16" customHeight="1">
      <c r="A506" s="13" t="n"/>
      <c r="B506" s="25" t="n"/>
      <c r="C506" s="26" t="n"/>
      <c r="D506" s="56" t="n"/>
      <c r="E506" s="56" t="n"/>
      <c r="F506" s="27" t="n"/>
      <c r="G506" s="18">
        <f>IF(D506="Tandem",10,IF(D506="TT",22,IF(D506="Quad",25,"")))</f>
        <v/>
      </c>
      <c r="H506" s="28">
        <f>IFERROR(IF(F506*G506=0,0,F506*G506),0)</f>
        <v/>
      </c>
      <c r="I506" s="29" t="n"/>
      <c r="J506" s="57" t="n"/>
      <c r="K506" s="25" t="n"/>
      <c r="L506" s="30" t="n"/>
      <c r="M506" s="58" t="n"/>
      <c r="N506" s="30" t="n"/>
      <c r="O506" s="24">
        <f>IFERROR(IF(OR(M506="",M506=0),0,H506*VALUE(SUBSTITUTE(M506&amp;"","$",""))),0)</f>
        <v/>
      </c>
    </row>
    <row r="507" hidden="1" outlineLevel="1" ht="16" customHeight="1">
      <c r="A507" s="13" t="n"/>
      <c r="B507" s="14" t="n"/>
      <c r="C507" s="15" t="n"/>
      <c r="D507" s="56" t="n"/>
      <c r="E507" s="56" t="n"/>
      <c r="F507" s="17" t="n"/>
      <c r="G507" s="18">
        <f>IF(D507="Tandem",10,IF(D507="TT",22,IF(D507="Quad",25,"")))</f>
        <v/>
      </c>
      <c r="H507" s="19">
        <f>IFERROR(IF(F507*G507=0,0,F507*G507),0)</f>
        <v/>
      </c>
      <c r="I507" s="20" t="n"/>
      <c r="J507" s="57" t="n"/>
      <c r="K507" s="14" t="n"/>
      <c r="L507" s="22" t="n"/>
      <c r="M507" s="58" t="n"/>
      <c r="N507" s="22" t="n"/>
      <c r="O507" s="24">
        <f>IFERROR(IF(OR(M507="",M507=0),0,H507*VALUE(SUBSTITUTE(M507&amp;"","$",""))),0)</f>
        <v/>
      </c>
    </row>
    <row r="508" hidden="1" outlineLevel="1" ht="16" customHeight="1">
      <c r="A508" s="13" t="n"/>
      <c r="B508" s="25" t="n"/>
      <c r="C508" s="26" t="n"/>
      <c r="D508" s="56" t="n"/>
      <c r="E508" s="56" t="n"/>
      <c r="F508" s="27" t="n"/>
      <c r="G508" s="18">
        <f>IF(D508="Tandem",10,IF(D508="TT",22,IF(D508="Quad",25,"")))</f>
        <v/>
      </c>
      <c r="H508" s="28">
        <f>IFERROR(IF(F508*G508=0,0,F508*G508),0)</f>
        <v/>
      </c>
      <c r="I508" s="29" t="n"/>
      <c r="J508" s="57" t="n"/>
      <c r="K508" s="25" t="n"/>
      <c r="L508" s="30" t="n"/>
      <c r="M508" s="58" t="n"/>
      <c r="N508" s="30" t="n"/>
      <c r="O508" s="24">
        <f>IFERROR(IF(OR(M508="",M508=0),0,H508*VALUE(SUBSTITUTE(M508&amp;"","$",""))),0)</f>
        <v/>
      </c>
    </row>
    <row r="509" hidden="1" outlineLevel="1" ht="16" customHeight="1">
      <c r="A509" s="13" t="n"/>
      <c r="B509" s="14" t="n"/>
      <c r="C509" s="15" t="n"/>
      <c r="D509" s="56" t="n"/>
      <c r="E509" s="56" t="n"/>
      <c r="F509" s="17" t="n"/>
      <c r="G509" s="18">
        <f>IF(D509="Tandem",10,IF(D509="TT",22,IF(D509="Quad",25,"")))</f>
        <v/>
      </c>
      <c r="H509" s="19">
        <f>IFERROR(IF(F509*G509=0,0,F509*G509),0)</f>
        <v/>
      </c>
      <c r="I509" s="20" t="n"/>
      <c r="J509" s="57" t="n"/>
      <c r="K509" s="14" t="n"/>
      <c r="L509" s="22" t="n"/>
      <c r="M509" s="58" t="n"/>
      <c r="N509" s="22" t="n"/>
      <c r="O509" s="24">
        <f>IFERROR(IF(OR(M509="",M509=0),0,H509*VALUE(SUBSTITUTE(M509&amp;"","$",""))),0)</f>
        <v/>
      </c>
    </row>
    <row r="510" hidden="1" outlineLevel="1" ht="16" customHeight="1">
      <c r="A510" s="13" t="n"/>
      <c r="B510" s="25" t="n"/>
      <c r="C510" s="26" t="n"/>
      <c r="D510" s="56" t="n"/>
      <c r="E510" s="56" t="n"/>
      <c r="F510" s="27" t="n"/>
      <c r="G510" s="18">
        <f>IF(D510="Tandem",10,IF(D510="TT",22,IF(D510="Quad",25,"")))</f>
        <v/>
      </c>
      <c r="H510" s="28">
        <f>IFERROR(IF(F510*G510=0,0,F510*G510),0)</f>
        <v/>
      </c>
      <c r="I510" s="29" t="n"/>
      <c r="J510" s="57" t="n"/>
      <c r="K510" s="25" t="n"/>
      <c r="L510" s="30" t="n"/>
      <c r="M510" s="58" t="n"/>
      <c r="N510" s="30" t="n"/>
      <c r="O510" s="24">
        <f>IFERROR(IF(OR(M510="",M510=0),0,H510*VALUE(SUBSTITUTE(M510&amp;"","$",""))),0)</f>
        <v/>
      </c>
    </row>
    <row r="511" hidden="1" outlineLevel="1" ht="16" customHeight="1">
      <c r="A511" s="13" t="n"/>
      <c r="B511" s="14" t="n"/>
      <c r="C511" s="15" t="n"/>
      <c r="D511" s="56" t="n"/>
      <c r="E511" s="56" t="n"/>
      <c r="F511" s="17" t="n"/>
      <c r="G511" s="18">
        <f>IF(D511="Tandem",10,IF(D511="TT",22,IF(D511="Quad",25,"")))</f>
        <v/>
      </c>
      <c r="H511" s="19">
        <f>IFERROR(IF(F511*G511=0,0,F511*G511),0)</f>
        <v/>
      </c>
      <c r="I511" s="20" t="n"/>
      <c r="J511" s="57" t="n"/>
      <c r="K511" s="14" t="n"/>
      <c r="L511" s="22" t="n"/>
      <c r="M511" s="58" t="n"/>
      <c r="N511" s="22" t="n"/>
      <c r="O511" s="24">
        <f>IFERROR(IF(OR(M511="",M511=0),0,H511*VALUE(SUBSTITUTE(M511&amp;"","$",""))),0)</f>
        <v/>
      </c>
    </row>
    <row r="512" hidden="1" outlineLevel="1" ht="16" customHeight="1">
      <c r="A512" s="13" t="n"/>
      <c r="B512" s="25" t="n"/>
      <c r="C512" s="26" t="n"/>
      <c r="D512" s="56" t="n"/>
      <c r="E512" s="56" t="n"/>
      <c r="F512" s="27" t="n"/>
      <c r="G512" s="18">
        <f>IF(D512="Tandem",10,IF(D512="TT",22,IF(D512="Quad",25,"")))</f>
        <v/>
      </c>
      <c r="H512" s="28">
        <f>IFERROR(IF(F512*G512=0,0,F512*G512),0)</f>
        <v/>
      </c>
      <c r="I512" s="29" t="n"/>
      <c r="J512" s="57" t="n"/>
      <c r="K512" s="25" t="n"/>
      <c r="L512" s="30" t="n"/>
      <c r="M512" s="58" t="n"/>
      <c r="N512" s="30" t="n"/>
      <c r="O512" s="24">
        <f>IFERROR(IF(OR(M512="",M512=0),0,H512*VALUE(SUBSTITUTE(M512&amp;"","$",""))),0)</f>
        <v/>
      </c>
    </row>
    <row r="513" hidden="1" outlineLevel="1" ht="16" customHeight="1">
      <c r="A513" s="13" t="n"/>
      <c r="B513" s="14" t="n"/>
      <c r="C513" s="15" t="n"/>
      <c r="D513" s="56" t="n"/>
      <c r="E513" s="56" t="n"/>
      <c r="F513" s="17" t="n"/>
      <c r="G513" s="18">
        <f>IF(D513="Tandem",10,IF(D513="TT",22,IF(D513="Quad",25,"")))</f>
        <v/>
      </c>
      <c r="H513" s="19">
        <f>IFERROR(IF(F513*G513=0,0,F513*G513),0)</f>
        <v/>
      </c>
      <c r="I513" s="20" t="n"/>
      <c r="J513" s="57" t="n"/>
      <c r="K513" s="14" t="n"/>
      <c r="L513" s="22" t="n"/>
      <c r="M513" s="58" t="n"/>
      <c r="N513" s="22" t="n"/>
      <c r="O513" s="24">
        <f>IFERROR(IF(OR(M513="",M513=0),0,H513*VALUE(SUBSTITUTE(M513&amp;"","$",""))),0)</f>
        <v/>
      </c>
    </row>
    <row r="514" hidden="1" outlineLevel="1" ht="16" customHeight="1">
      <c r="A514" s="13" t="n"/>
      <c r="B514" s="25" t="n"/>
      <c r="C514" s="26" t="n"/>
      <c r="D514" s="56" t="n"/>
      <c r="E514" s="56" t="n"/>
      <c r="F514" s="27" t="n"/>
      <c r="G514" s="18">
        <f>IF(D514="Tandem",10,IF(D514="TT",22,IF(D514="Quad",25,"")))</f>
        <v/>
      </c>
      <c r="H514" s="28">
        <f>IFERROR(IF(F514*G514=0,0,F514*G514),0)</f>
        <v/>
      </c>
      <c r="I514" s="29" t="n"/>
      <c r="J514" s="57" t="n"/>
      <c r="K514" s="25" t="n"/>
      <c r="L514" s="30" t="n"/>
      <c r="M514" s="58" t="n"/>
      <c r="N514" s="30" t="n"/>
      <c r="O514" s="24">
        <f>IFERROR(IF(OR(M514="",M514=0),0,H514*VALUE(SUBSTITUTE(M514&amp;"","$",""))),0)</f>
        <v/>
      </c>
    </row>
    <row r="515" hidden="1" outlineLevel="1" ht="16" customHeight="1">
      <c r="A515" s="13" t="n"/>
      <c r="B515" s="14" t="n"/>
      <c r="C515" s="15" t="n"/>
      <c r="D515" s="56" t="n"/>
      <c r="E515" s="56" t="n"/>
      <c r="F515" s="17" t="n"/>
      <c r="G515" s="18">
        <f>IF(D515="Tandem",10,IF(D515="TT",22,IF(D515="Quad",25,"")))</f>
        <v/>
      </c>
      <c r="H515" s="19">
        <f>IFERROR(IF(F515*G515=0,0,F515*G515),0)</f>
        <v/>
      </c>
      <c r="I515" s="20" t="n"/>
      <c r="J515" s="57" t="n"/>
      <c r="K515" s="14" t="n"/>
      <c r="L515" s="22" t="n"/>
      <c r="M515" s="58" t="n"/>
      <c r="N515" s="22" t="n"/>
      <c r="O515" s="24">
        <f>IFERROR(IF(OR(M515="",M515=0),0,H515*VALUE(SUBSTITUTE(M515&amp;"","$",""))),0)</f>
        <v/>
      </c>
    </row>
    <row r="516" hidden="1" outlineLevel="1" ht="16" customHeight="1">
      <c r="A516" s="13" t="n"/>
      <c r="B516" s="25" t="n"/>
      <c r="C516" s="26" t="n"/>
      <c r="D516" s="56" t="n"/>
      <c r="E516" s="56" t="n"/>
      <c r="F516" s="27" t="n"/>
      <c r="G516" s="18">
        <f>IF(D516="Tandem",10,IF(D516="TT",22,IF(D516="Quad",25,"")))</f>
        <v/>
      </c>
      <c r="H516" s="28">
        <f>IFERROR(IF(F516*G516=0,0,F516*G516),0)</f>
        <v/>
      </c>
      <c r="I516" s="29" t="n"/>
      <c r="J516" s="57" t="n"/>
      <c r="K516" s="25" t="n"/>
      <c r="L516" s="30" t="n"/>
      <c r="M516" s="58" t="n"/>
      <c r="N516" s="30" t="n"/>
      <c r="O516" s="24">
        <f>IFERROR(IF(OR(M516="",M516=0),0,H516*VALUE(SUBSTITUTE(M516&amp;"","$",""))),0)</f>
        <v/>
      </c>
    </row>
    <row r="517" hidden="1" outlineLevel="1" ht="20" customHeight="1">
      <c r="A517" s="59" t="inlineStr">
        <is>
          <t>Daily Notes:</t>
        </is>
      </c>
      <c r="B517" s="54" t="n"/>
      <c r="C517" s="54" t="n"/>
      <c r="D517" s="54" t="n"/>
      <c r="E517" s="54" t="n"/>
      <c r="F517" s="54" t="n"/>
      <c r="G517" s="54" t="n"/>
      <c r="H517" s="54" t="n"/>
      <c r="I517" s="54" t="n"/>
      <c r="J517" s="54" t="n"/>
      <c r="K517" s="54" t="n"/>
      <c r="L517" s="54" t="n"/>
      <c r="M517" s="54" t="n"/>
      <c r="N517" s="50" t="n"/>
      <c r="O517" s="60" t="n"/>
    </row>
    <row r="518" hidden="1" outlineLevel="1" ht="18" customHeight="1">
      <c r="A518" s="32" t="inlineStr">
        <is>
          <t>DAILY TOTAL</t>
        </is>
      </c>
      <c r="B518" s="54" t="n"/>
      <c r="C518" s="54" t="n"/>
      <c r="D518" s="54" t="n"/>
      <c r="E518" s="54" t="n"/>
      <c r="F518" s="54" t="n"/>
      <c r="G518" s="50" t="n"/>
      <c r="H518" s="34">
        <f>SUM(H487:H516)</f>
        <v/>
      </c>
      <c r="I518" s="35">
        <f>SUM(I487:I516)</f>
        <v/>
      </c>
      <c r="J518" s="61" t="n"/>
      <c r="K518" s="61" t="n"/>
      <c r="L518" s="61" t="n"/>
      <c r="M518" s="36">
        <f>SUM(O487:O516)</f>
        <v/>
      </c>
      <c r="N518" s="61" t="n"/>
      <c r="O518" s="62" t="n"/>
    </row>
    <row r="519" hidden="1" outlineLevel="1" ht="18" customHeight="1">
      <c r="A519" s="2" t="inlineStr">
        <is>
          <t>▶ RUNNING TOTAL</t>
        </is>
      </c>
      <c r="B519" s="54" t="n"/>
      <c r="C519" s="54" t="n"/>
      <c r="D519" s="54" t="n"/>
      <c r="E519" s="54" t="n"/>
      <c r="F519" s="54" t="n"/>
      <c r="G519" s="50" t="n"/>
      <c r="H519" s="37">
        <f>H50+H86+H122+H158+H194+H230+H266+H302+H338+H374+H410+H446+H482+H518</f>
        <v/>
      </c>
      <c r="I519" s="63" t="n"/>
      <c r="J519" s="63" t="n"/>
      <c r="K519" s="63" t="n"/>
      <c r="L519" s="63" t="n"/>
      <c r="M519" s="38">
        <f>M50+M86+M122+M158+M194+M230+M266+M302+M338+M374+M410+M446+M482+M518</f>
        <v/>
      </c>
      <c r="N519" s="63" t="n"/>
      <c r="O519" s="64" t="n"/>
    </row>
    <row r="520" hidden="1" outlineLevel="1" ht="8" customHeight="1"/>
    <row r="521" ht="22" customHeight="1">
      <c r="A521" s="55" t="inlineStr">
        <is>
          <t>DAY 15</t>
        </is>
      </c>
      <c r="B521" s="54" t="n"/>
      <c r="C521" s="54" t="n"/>
      <c r="D521" s="54" t="n"/>
      <c r="E521" s="54" t="n"/>
      <c r="F521" s="54" t="n"/>
      <c r="G521" s="54" t="n"/>
      <c r="H521" s="54" t="n"/>
      <c r="I521" s="54" t="n"/>
      <c r="J521" s="54" t="n"/>
      <c r="K521" s="54" t="n"/>
      <c r="L521" s="54" t="n"/>
      <c r="M521" s="54" t="n"/>
      <c r="N521" s="50" t="n"/>
    </row>
    <row r="522" hidden="1" outlineLevel="1" ht="28" customHeight="1">
      <c r="A522" s="12" t="inlineStr">
        <is>
          <t>Date</t>
        </is>
      </c>
      <c r="B522" s="12" t="inlineStr">
        <is>
          <t>Cartage Company</t>
        </is>
      </c>
      <c r="C522" s="12" t="inlineStr">
        <is>
          <t>Truck Rego</t>
        </is>
      </c>
      <c r="D522" s="12" t="inlineStr">
        <is>
          <t>Truck Type</t>
        </is>
      </c>
      <c r="E522" s="12" t="inlineStr">
        <is>
          <t>Exp / Imp</t>
        </is>
      </c>
      <c r="F522" s="12" t="inlineStr">
        <is>
          <t>Loads</t>
        </is>
      </c>
      <c r="G522" s="12" t="inlineStr">
        <is>
          <t>m³ / Load</t>
        </is>
      </c>
      <c r="H522" s="12" t="inlineStr">
        <is>
          <t>Total m³</t>
        </is>
      </c>
      <c r="I522" s="12" t="inlineStr">
        <is>
          <t>Hours</t>
        </is>
      </c>
      <c r="J522" s="12" t="inlineStr">
        <is>
          <t>Material</t>
        </is>
      </c>
      <c r="K522" s="12" t="inlineStr">
        <is>
          <t>Tip Site</t>
        </is>
      </c>
      <c r="L522" s="12" t="inlineStr">
        <is>
          <t>Docket #</t>
        </is>
      </c>
      <c r="M522" s="12" t="inlineStr">
        <is>
          <t>Rate Paid ($/m³)</t>
        </is>
      </c>
      <c r="N522" s="12" t="inlineStr">
        <is>
          <t>Invoice #</t>
        </is>
      </c>
    </row>
    <row r="523" hidden="1" outlineLevel="1" ht="16" customHeight="1">
      <c r="A523" s="13" t="n"/>
      <c r="B523" s="14" t="n"/>
      <c r="C523" s="15" t="n"/>
      <c r="D523" s="56" t="n"/>
      <c r="E523" s="56" t="n"/>
      <c r="F523" s="17" t="n"/>
      <c r="G523" s="18">
        <f>IF(D523="Tandem",10,IF(D523="TT",22,IF(D523="Quad",25,"")))</f>
        <v/>
      </c>
      <c r="H523" s="19">
        <f>IFERROR(IF(F523*G523=0,0,F523*G523),0)</f>
        <v/>
      </c>
      <c r="I523" s="20" t="n"/>
      <c r="J523" s="57" t="n"/>
      <c r="K523" s="14" t="n"/>
      <c r="L523" s="22" t="n"/>
      <c r="M523" s="58" t="n"/>
      <c r="N523" s="22" t="n"/>
      <c r="O523" s="24">
        <f>IFERROR(IF(OR(M523="",M523=0),0,H523*VALUE(SUBSTITUTE(M523&amp;"","$",""))),0)</f>
        <v/>
      </c>
    </row>
    <row r="524" hidden="1" outlineLevel="1" ht="16" customHeight="1">
      <c r="A524" s="13" t="n"/>
      <c r="B524" s="25" t="n"/>
      <c r="C524" s="26" t="n"/>
      <c r="D524" s="56" t="n"/>
      <c r="E524" s="56" t="n"/>
      <c r="F524" s="27" t="n"/>
      <c r="G524" s="18">
        <f>IF(D524="Tandem",10,IF(D524="TT",22,IF(D524="Quad",25,"")))</f>
        <v/>
      </c>
      <c r="H524" s="28">
        <f>IFERROR(IF(F524*G524=0,0,F524*G524),0)</f>
        <v/>
      </c>
      <c r="I524" s="29" t="n"/>
      <c r="J524" s="57" t="n"/>
      <c r="K524" s="25" t="n"/>
      <c r="L524" s="30" t="n"/>
      <c r="M524" s="58" t="n"/>
      <c r="N524" s="30" t="n"/>
      <c r="O524" s="24">
        <f>IFERROR(IF(OR(M524="",M524=0),0,H524*VALUE(SUBSTITUTE(M524&amp;"","$",""))),0)</f>
        <v/>
      </c>
    </row>
    <row r="525" hidden="1" outlineLevel="1" ht="16" customHeight="1">
      <c r="A525" s="13" t="n"/>
      <c r="B525" s="14" t="n"/>
      <c r="C525" s="15" t="n"/>
      <c r="D525" s="56" t="n"/>
      <c r="E525" s="56" t="n"/>
      <c r="F525" s="17" t="n"/>
      <c r="G525" s="18">
        <f>IF(D525="Tandem",10,IF(D525="TT",22,IF(D525="Quad",25,"")))</f>
        <v/>
      </c>
      <c r="H525" s="19">
        <f>IFERROR(IF(F525*G525=0,0,F525*G525),0)</f>
        <v/>
      </c>
      <c r="I525" s="20" t="n"/>
      <c r="J525" s="57" t="n"/>
      <c r="K525" s="14" t="n"/>
      <c r="L525" s="22" t="n"/>
      <c r="M525" s="58" t="n"/>
      <c r="N525" s="22" t="n"/>
      <c r="O525" s="24">
        <f>IFERROR(IF(OR(M525="",M525=0),0,H525*VALUE(SUBSTITUTE(M525&amp;"","$",""))),0)</f>
        <v/>
      </c>
    </row>
    <row r="526" hidden="1" outlineLevel="1" ht="16" customHeight="1">
      <c r="A526" s="13" t="n"/>
      <c r="B526" s="25" t="n"/>
      <c r="C526" s="26" t="n"/>
      <c r="D526" s="56" t="n"/>
      <c r="E526" s="56" t="n"/>
      <c r="F526" s="27" t="n"/>
      <c r="G526" s="18">
        <f>IF(D526="Tandem",10,IF(D526="TT",22,IF(D526="Quad",25,"")))</f>
        <v/>
      </c>
      <c r="H526" s="28">
        <f>IFERROR(IF(F526*G526=0,0,F526*G526),0)</f>
        <v/>
      </c>
      <c r="I526" s="29" t="n"/>
      <c r="J526" s="57" t="n"/>
      <c r="K526" s="25" t="n"/>
      <c r="L526" s="30" t="n"/>
      <c r="M526" s="58" t="n"/>
      <c r="N526" s="30" t="n"/>
      <c r="O526" s="24">
        <f>IFERROR(IF(OR(M526="",M526=0),0,H526*VALUE(SUBSTITUTE(M526&amp;"","$",""))),0)</f>
        <v/>
      </c>
    </row>
    <row r="527" hidden="1" outlineLevel="1" ht="16" customHeight="1">
      <c r="A527" s="13" t="n"/>
      <c r="B527" s="14" t="n"/>
      <c r="C527" s="15" t="n"/>
      <c r="D527" s="56" t="n"/>
      <c r="E527" s="56" t="n"/>
      <c r="F527" s="17" t="n"/>
      <c r="G527" s="18">
        <f>IF(D527="Tandem",10,IF(D527="TT",22,IF(D527="Quad",25,"")))</f>
        <v/>
      </c>
      <c r="H527" s="19">
        <f>IFERROR(IF(F527*G527=0,0,F527*G527),0)</f>
        <v/>
      </c>
      <c r="I527" s="20" t="n"/>
      <c r="J527" s="57" t="n"/>
      <c r="K527" s="14" t="n"/>
      <c r="L527" s="22" t="n"/>
      <c r="M527" s="58" t="n"/>
      <c r="N527" s="22" t="n"/>
      <c r="O527" s="24">
        <f>IFERROR(IF(OR(M527="",M527=0),0,H527*VALUE(SUBSTITUTE(M527&amp;"","$",""))),0)</f>
        <v/>
      </c>
    </row>
    <row r="528" hidden="1" outlineLevel="1" ht="16" customHeight="1">
      <c r="A528" s="13" t="n"/>
      <c r="B528" s="25" t="n"/>
      <c r="C528" s="26" t="n"/>
      <c r="D528" s="56" t="n"/>
      <c r="E528" s="56" t="n"/>
      <c r="F528" s="27" t="n"/>
      <c r="G528" s="18">
        <f>IF(D528="Tandem",10,IF(D528="TT",22,IF(D528="Quad",25,"")))</f>
        <v/>
      </c>
      <c r="H528" s="28">
        <f>IFERROR(IF(F528*G528=0,0,F528*G528),0)</f>
        <v/>
      </c>
      <c r="I528" s="29" t="n"/>
      <c r="J528" s="57" t="n"/>
      <c r="K528" s="25" t="n"/>
      <c r="L528" s="30" t="n"/>
      <c r="M528" s="58" t="n"/>
      <c r="N528" s="30" t="n"/>
      <c r="O528" s="24">
        <f>IFERROR(IF(OR(M528="",M528=0),0,H528*VALUE(SUBSTITUTE(M528&amp;"","$",""))),0)</f>
        <v/>
      </c>
    </row>
    <row r="529" hidden="1" outlineLevel="1" ht="16" customHeight="1">
      <c r="A529" s="13" t="n"/>
      <c r="B529" s="14" t="n"/>
      <c r="C529" s="15" t="n"/>
      <c r="D529" s="56" t="n"/>
      <c r="E529" s="56" t="n"/>
      <c r="F529" s="17" t="n"/>
      <c r="G529" s="18">
        <f>IF(D529="Tandem",10,IF(D529="TT",22,IF(D529="Quad",25,"")))</f>
        <v/>
      </c>
      <c r="H529" s="19">
        <f>IFERROR(IF(F529*G529=0,0,F529*G529),0)</f>
        <v/>
      </c>
      <c r="I529" s="20" t="n"/>
      <c r="J529" s="57" t="n"/>
      <c r="K529" s="14" t="n"/>
      <c r="L529" s="22" t="n"/>
      <c r="M529" s="58" t="n"/>
      <c r="N529" s="22" t="n"/>
      <c r="O529" s="24">
        <f>IFERROR(IF(OR(M529="",M529=0),0,H529*VALUE(SUBSTITUTE(M529&amp;"","$",""))),0)</f>
        <v/>
      </c>
    </row>
    <row r="530" hidden="1" outlineLevel="1" ht="16" customHeight="1">
      <c r="A530" s="13" t="n"/>
      <c r="B530" s="25" t="n"/>
      <c r="C530" s="26" t="n"/>
      <c r="D530" s="56" t="n"/>
      <c r="E530" s="56" t="n"/>
      <c r="F530" s="27" t="n"/>
      <c r="G530" s="18">
        <f>IF(D530="Tandem",10,IF(D530="TT",22,IF(D530="Quad",25,"")))</f>
        <v/>
      </c>
      <c r="H530" s="28">
        <f>IFERROR(IF(F530*G530=0,0,F530*G530),0)</f>
        <v/>
      </c>
      <c r="I530" s="29" t="n"/>
      <c r="J530" s="57" t="n"/>
      <c r="K530" s="25" t="n"/>
      <c r="L530" s="30" t="n"/>
      <c r="M530" s="58" t="n"/>
      <c r="N530" s="30" t="n"/>
      <c r="O530" s="24">
        <f>IFERROR(IF(OR(M530="",M530=0),0,H530*VALUE(SUBSTITUTE(M530&amp;"","$",""))),0)</f>
        <v/>
      </c>
    </row>
    <row r="531" hidden="1" outlineLevel="1" ht="16" customHeight="1">
      <c r="A531" s="13" t="n"/>
      <c r="B531" s="14" t="n"/>
      <c r="C531" s="15" t="n"/>
      <c r="D531" s="56" t="n"/>
      <c r="E531" s="56" t="n"/>
      <c r="F531" s="17" t="n"/>
      <c r="G531" s="18">
        <f>IF(D531="Tandem",10,IF(D531="TT",22,IF(D531="Quad",25,"")))</f>
        <v/>
      </c>
      <c r="H531" s="19">
        <f>IFERROR(IF(F531*G531=0,0,F531*G531),0)</f>
        <v/>
      </c>
      <c r="I531" s="20" t="n"/>
      <c r="J531" s="57" t="n"/>
      <c r="K531" s="14" t="n"/>
      <c r="L531" s="22" t="n"/>
      <c r="M531" s="58" t="n"/>
      <c r="N531" s="22" t="n"/>
      <c r="O531" s="24">
        <f>IFERROR(IF(OR(M531="",M531=0),0,H531*VALUE(SUBSTITUTE(M531&amp;"","$",""))),0)</f>
        <v/>
      </c>
    </row>
    <row r="532" hidden="1" outlineLevel="1" ht="16" customHeight="1">
      <c r="A532" s="13" t="n"/>
      <c r="B532" s="25" t="n"/>
      <c r="C532" s="26" t="n"/>
      <c r="D532" s="56" t="n"/>
      <c r="E532" s="56" t="n"/>
      <c r="F532" s="27" t="n"/>
      <c r="G532" s="18">
        <f>IF(D532="Tandem",10,IF(D532="TT",22,IF(D532="Quad",25,"")))</f>
        <v/>
      </c>
      <c r="H532" s="28">
        <f>IFERROR(IF(F532*G532=0,0,F532*G532),0)</f>
        <v/>
      </c>
      <c r="I532" s="29" t="n"/>
      <c r="J532" s="57" t="n"/>
      <c r="K532" s="25" t="n"/>
      <c r="L532" s="30" t="n"/>
      <c r="M532" s="58" t="n"/>
      <c r="N532" s="30" t="n"/>
      <c r="O532" s="24">
        <f>IFERROR(IF(OR(M532="",M532=0),0,H532*VALUE(SUBSTITUTE(M532&amp;"","$",""))),0)</f>
        <v/>
      </c>
    </row>
    <row r="533" hidden="1" outlineLevel="1" ht="16" customHeight="1">
      <c r="A533" s="13" t="n"/>
      <c r="B533" s="14" t="n"/>
      <c r="C533" s="15" t="n"/>
      <c r="D533" s="56" t="n"/>
      <c r="E533" s="56" t="n"/>
      <c r="F533" s="17" t="n"/>
      <c r="G533" s="18">
        <f>IF(D533="Tandem",10,IF(D533="TT",22,IF(D533="Quad",25,"")))</f>
        <v/>
      </c>
      <c r="H533" s="19">
        <f>IFERROR(IF(F533*G533=0,0,F533*G533),0)</f>
        <v/>
      </c>
      <c r="I533" s="20" t="n"/>
      <c r="J533" s="57" t="n"/>
      <c r="K533" s="14" t="n"/>
      <c r="L533" s="22" t="n"/>
      <c r="M533" s="58" t="n"/>
      <c r="N533" s="22" t="n"/>
      <c r="O533" s="24">
        <f>IFERROR(IF(OR(M533="",M533=0),0,H533*VALUE(SUBSTITUTE(M533&amp;"","$",""))),0)</f>
        <v/>
      </c>
    </row>
    <row r="534" hidden="1" outlineLevel="1" ht="16" customHeight="1">
      <c r="A534" s="13" t="n"/>
      <c r="B534" s="25" t="n"/>
      <c r="C534" s="26" t="n"/>
      <c r="D534" s="56" t="n"/>
      <c r="E534" s="56" t="n"/>
      <c r="F534" s="27" t="n"/>
      <c r="G534" s="18">
        <f>IF(D534="Tandem",10,IF(D534="TT",22,IF(D534="Quad",25,"")))</f>
        <v/>
      </c>
      <c r="H534" s="28">
        <f>IFERROR(IF(F534*G534=0,0,F534*G534),0)</f>
        <v/>
      </c>
      <c r="I534" s="29" t="n"/>
      <c r="J534" s="57" t="n"/>
      <c r="K534" s="25" t="n"/>
      <c r="L534" s="30" t="n"/>
      <c r="M534" s="58" t="n"/>
      <c r="N534" s="30" t="n"/>
      <c r="O534" s="24">
        <f>IFERROR(IF(OR(M534="",M534=0),0,H534*VALUE(SUBSTITUTE(M534&amp;"","$",""))),0)</f>
        <v/>
      </c>
    </row>
    <row r="535" hidden="1" outlineLevel="1" ht="16" customHeight="1">
      <c r="A535" s="13" t="n"/>
      <c r="B535" s="14" t="n"/>
      <c r="C535" s="15" t="n"/>
      <c r="D535" s="56" t="n"/>
      <c r="E535" s="56" t="n"/>
      <c r="F535" s="17" t="n"/>
      <c r="G535" s="18">
        <f>IF(D535="Tandem",10,IF(D535="TT",22,IF(D535="Quad",25,"")))</f>
        <v/>
      </c>
      <c r="H535" s="19">
        <f>IFERROR(IF(F535*G535=0,0,F535*G535),0)</f>
        <v/>
      </c>
      <c r="I535" s="20" t="n"/>
      <c r="J535" s="57" t="n"/>
      <c r="K535" s="14" t="n"/>
      <c r="L535" s="22" t="n"/>
      <c r="M535" s="58" t="n"/>
      <c r="N535" s="22" t="n"/>
      <c r="O535" s="24">
        <f>IFERROR(IF(OR(M535="",M535=0),0,H535*VALUE(SUBSTITUTE(M535&amp;"","$",""))),0)</f>
        <v/>
      </c>
    </row>
    <row r="536" hidden="1" outlineLevel="1" ht="16" customHeight="1">
      <c r="A536" s="13" t="n"/>
      <c r="B536" s="25" t="n"/>
      <c r="C536" s="26" t="n"/>
      <c r="D536" s="56" t="n"/>
      <c r="E536" s="56" t="n"/>
      <c r="F536" s="27" t="n"/>
      <c r="G536" s="18">
        <f>IF(D536="Tandem",10,IF(D536="TT",22,IF(D536="Quad",25,"")))</f>
        <v/>
      </c>
      <c r="H536" s="28">
        <f>IFERROR(IF(F536*G536=0,0,F536*G536),0)</f>
        <v/>
      </c>
      <c r="I536" s="29" t="n"/>
      <c r="J536" s="57" t="n"/>
      <c r="K536" s="25" t="n"/>
      <c r="L536" s="30" t="n"/>
      <c r="M536" s="58" t="n"/>
      <c r="N536" s="30" t="n"/>
      <c r="O536" s="24">
        <f>IFERROR(IF(OR(M536="",M536=0),0,H536*VALUE(SUBSTITUTE(M536&amp;"","$",""))),0)</f>
        <v/>
      </c>
    </row>
    <row r="537" hidden="1" outlineLevel="1" ht="16" customHeight="1">
      <c r="A537" s="13" t="n"/>
      <c r="B537" s="14" t="n"/>
      <c r="C537" s="15" t="n"/>
      <c r="D537" s="56" t="n"/>
      <c r="E537" s="56" t="n"/>
      <c r="F537" s="17" t="n"/>
      <c r="G537" s="18">
        <f>IF(D537="Tandem",10,IF(D537="TT",22,IF(D537="Quad",25,"")))</f>
        <v/>
      </c>
      <c r="H537" s="19">
        <f>IFERROR(IF(F537*G537=0,0,F537*G537),0)</f>
        <v/>
      </c>
      <c r="I537" s="20" t="n"/>
      <c r="J537" s="57" t="n"/>
      <c r="K537" s="14" t="n"/>
      <c r="L537" s="22" t="n"/>
      <c r="M537" s="58" t="n"/>
      <c r="N537" s="22" t="n"/>
      <c r="O537" s="24">
        <f>IFERROR(IF(OR(M537="",M537=0),0,H537*VALUE(SUBSTITUTE(M537&amp;"","$",""))),0)</f>
        <v/>
      </c>
    </row>
    <row r="538" hidden="1" outlineLevel="1" ht="16" customHeight="1">
      <c r="A538" s="13" t="n"/>
      <c r="B538" s="25" t="n"/>
      <c r="C538" s="26" t="n"/>
      <c r="D538" s="56" t="n"/>
      <c r="E538" s="56" t="n"/>
      <c r="F538" s="27" t="n"/>
      <c r="G538" s="18">
        <f>IF(D538="Tandem",10,IF(D538="TT",22,IF(D538="Quad",25,"")))</f>
        <v/>
      </c>
      <c r="H538" s="28">
        <f>IFERROR(IF(F538*G538=0,0,F538*G538),0)</f>
        <v/>
      </c>
      <c r="I538" s="29" t="n"/>
      <c r="J538" s="57" t="n"/>
      <c r="K538" s="25" t="n"/>
      <c r="L538" s="30" t="n"/>
      <c r="M538" s="58" t="n"/>
      <c r="N538" s="30" t="n"/>
      <c r="O538" s="24">
        <f>IFERROR(IF(OR(M538="",M538=0),0,H538*VALUE(SUBSTITUTE(M538&amp;"","$",""))),0)</f>
        <v/>
      </c>
    </row>
    <row r="539" hidden="1" outlineLevel="1" ht="16" customHeight="1">
      <c r="A539" s="13" t="n"/>
      <c r="B539" s="14" t="n"/>
      <c r="C539" s="15" t="n"/>
      <c r="D539" s="56" t="n"/>
      <c r="E539" s="56" t="n"/>
      <c r="F539" s="17" t="n"/>
      <c r="G539" s="18">
        <f>IF(D539="Tandem",10,IF(D539="TT",22,IF(D539="Quad",25,"")))</f>
        <v/>
      </c>
      <c r="H539" s="19">
        <f>IFERROR(IF(F539*G539=0,0,F539*G539),0)</f>
        <v/>
      </c>
      <c r="I539" s="20" t="n"/>
      <c r="J539" s="57" t="n"/>
      <c r="K539" s="14" t="n"/>
      <c r="L539" s="22" t="n"/>
      <c r="M539" s="58" t="n"/>
      <c r="N539" s="22" t="n"/>
      <c r="O539" s="24">
        <f>IFERROR(IF(OR(M539="",M539=0),0,H539*VALUE(SUBSTITUTE(M539&amp;"","$",""))),0)</f>
        <v/>
      </c>
    </row>
    <row r="540" hidden="1" outlineLevel="1" ht="16" customHeight="1">
      <c r="A540" s="13" t="n"/>
      <c r="B540" s="25" t="n"/>
      <c r="C540" s="26" t="n"/>
      <c r="D540" s="56" t="n"/>
      <c r="E540" s="56" t="n"/>
      <c r="F540" s="27" t="n"/>
      <c r="G540" s="18">
        <f>IF(D540="Tandem",10,IF(D540="TT",22,IF(D540="Quad",25,"")))</f>
        <v/>
      </c>
      <c r="H540" s="28">
        <f>IFERROR(IF(F540*G540=0,0,F540*G540),0)</f>
        <v/>
      </c>
      <c r="I540" s="29" t="n"/>
      <c r="J540" s="57" t="n"/>
      <c r="K540" s="25" t="n"/>
      <c r="L540" s="30" t="n"/>
      <c r="M540" s="58" t="n"/>
      <c r="N540" s="30" t="n"/>
      <c r="O540" s="24">
        <f>IFERROR(IF(OR(M540="",M540=0),0,H540*VALUE(SUBSTITUTE(M540&amp;"","$",""))),0)</f>
        <v/>
      </c>
    </row>
    <row r="541" hidden="1" outlineLevel="1" ht="16" customHeight="1">
      <c r="A541" s="13" t="n"/>
      <c r="B541" s="14" t="n"/>
      <c r="C541" s="15" t="n"/>
      <c r="D541" s="56" t="n"/>
      <c r="E541" s="56" t="n"/>
      <c r="F541" s="17" t="n"/>
      <c r="G541" s="18">
        <f>IF(D541="Tandem",10,IF(D541="TT",22,IF(D541="Quad",25,"")))</f>
        <v/>
      </c>
      <c r="H541" s="19">
        <f>IFERROR(IF(F541*G541=0,0,F541*G541),0)</f>
        <v/>
      </c>
      <c r="I541" s="20" t="n"/>
      <c r="J541" s="57" t="n"/>
      <c r="K541" s="14" t="n"/>
      <c r="L541" s="22" t="n"/>
      <c r="M541" s="58" t="n"/>
      <c r="N541" s="22" t="n"/>
      <c r="O541" s="24">
        <f>IFERROR(IF(OR(M541="",M541=0),0,H541*VALUE(SUBSTITUTE(M541&amp;"","$",""))),0)</f>
        <v/>
      </c>
    </row>
    <row r="542" hidden="1" outlineLevel="1" ht="16" customHeight="1">
      <c r="A542" s="13" t="n"/>
      <c r="B542" s="25" t="n"/>
      <c r="C542" s="26" t="n"/>
      <c r="D542" s="56" t="n"/>
      <c r="E542" s="56" t="n"/>
      <c r="F542" s="27" t="n"/>
      <c r="G542" s="18">
        <f>IF(D542="Tandem",10,IF(D542="TT",22,IF(D542="Quad",25,"")))</f>
        <v/>
      </c>
      <c r="H542" s="28">
        <f>IFERROR(IF(F542*G542=0,0,F542*G542),0)</f>
        <v/>
      </c>
      <c r="I542" s="29" t="n"/>
      <c r="J542" s="57" t="n"/>
      <c r="K542" s="25" t="n"/>
      <c r="L542" s="30" t="n"/>
      <c r="M542" s="58" t="n"/>
      <c r="N542" s="30" t="n"/>
      <c r="O542" s="24">
        <f>IFERROR(IF(OR(M542="",M542=0),0,H542*VALUE(SUBSTITUTE(M542&amp;"","$",""))),0)</f>
        <v/>
      </c>
    </row>
    <row r="543" hidden="1" outlineLevel="1" ht="16" customHeight="1">
      <c r="A543" s="13" t="n"/>
      <c r="B543" s="14" t="n"/>
      <c r="C543" s="15" t="n"/>
      <c r="D543" s="56" t="n"/>
      <c r="E543" s="56" t="n"/>
      <c r="F543" s="17" t="n"/>
      <c r="G543" s="18">
        <f>IF(D543="Tandem",10,IF(D543="TT",22,IF(D543="Quad",25,"")))</f>
        <v/>
      </c>
      <c r="H543" s="19">
        <f>IFERROR(IF(F543*G543=0,0,F543*G543),0)</f>
        <v/>
      </c>
      <c r="I543" s="20" t="n"/>
      <c r="J543" s="57" t="n"/>
      <c r="K543" s="14" t="n"/>
      <c r="L543" s="22" t="n"/>
      <c r="M543" s="58" t="n"/>
      <c r="N543" s="22" t="n"/>
      <c r="O543" s="24">
        <f>IFERROR(IF(OR(M543="",M543=0),0,H543*VALUE(SUBSTITUTE(M543&amp;"","$",""))),0)</f>
        <v/>
      </c>
    </row>
    <row r="544" hidden="1" outlineLevel="1" ht="16" customHeight="1">
      <c r="A544" s="13" t="n"/>
      <c r="B544" s="25" t="n"/>
      <c r="C544" s="26" t="n"/>
      <c r="D544" s="56" t="n"/>
      <c r="E544" s="56" t="n"/>
      <c r="F544" s="27" t="n"/>
      <c r="G544" s="18">
        <f>IF(D544="Tandem",10,IF(D544="TT",22,IF(D544="Quad",25,"")))</f>
        <v/>
      </c>
      <c r="H544" s="28">
        <f>IFERROR(IF(F544*G544=0,0,F544*G544),0)</f>
        <v/>
      </c>
      <c r="I544" s="29" t="n"/>
      <c r="J544" s="57" t="n"/>
      <c r="K544" s="25" t="n"/>
      <c r="L544" s="30" t="n"/>
      <c r="M544" s="58" t="n"/>
      <c r="N544" s="30" t="n"/>
      <c r="O544" s="24">
        <f>IFERROR(IF(OR(M544="",M544=0),0,H544*VALUE(SUBSTITUTE(M544&amp;"","$",""))),0)</f>
        <v/>
      </c>
    </row>
    <row r="545" hidden="1" outlineLevel="1" ht="16" customHeight="1">
      <c r="A545" s="13" t="n"/>
      <c r="B545" s="14" t="n"/>
      <c r="C545" s="15" t="n"/>
      <c r="D545" s="56" t="n"/>
      <c r="E545" s="56" t="n"/>
      <c r="F545" s="17" t="n"/>
      <c r="G545" s="18">
        <f>IF(D545="Tandem",10,IF(D545="TT",22,IF(D545="Quad",25,"")))</f>
        <v/>
      </c>
      <c r="H545" s="19">
        <f>IFERROR(IF(F545*G545=0,0,F545*G545),0)</f>
        <v/>
      </c>
      <c r="I545" s="20" t="n"/>
      <c r="J545" s="57" t="n"/>
      <c r="K545" s="14" t="n"/>
      <c r="L545" s="22" t="n"/>
      <c r="M545" s="58" t="n"/>
      <c r="N545" s="22" t="n"/>
      <c r="O545" s="24">
        <f>IFERROR(IF(OR(M545="",M545=0),0,H545*VALUE(SUBSTITUTE(M545&amp;"","$",""))),0)</f>
        <v/>
      </c>
    </row>
    <row r="546" hidden="1" outlineLevel="1" ht="16" customHeight="1">
      <c r="A546" s="13" t="n"/>
      <c r="B546" s="25" t="n"/>
      <c r="C546" s="26" t="n"/>
      <c r="D546" s="56" t="n"/>
      <c r="E546" s="56" t="n"/>
      <c r="F546" s="27" t="n"/>
      <c r="G546" s="18">
        <f>IF(D546="Tandem",10,IF(D546="TT",22,IF(D546="Quad",25,"")))</f>
        <v/>
      </c>
      <c r="H546" s="28">
        <f>IFERROR(IF(F546*G546=0,0,F546*G546),0)</f>
        <v/>
      </c>
      <c r="I546" s="29" t="n"/>
      <c r="J546" s="57" t="n"/>
      <c r="K546" s="25" t="n"/>
      <c r="L546" s="30" t="n"/>
      <c r="M546" s="58" t="n"/>
      <c r="N546" s="30" t="n"/>
      <c r="O546" s="24">
        <f>IFERROR(IF(OR(M546="",M546=0),0,H546*VALUE(SUBSTITUTE(M546&amp;"","$",""))),0)</f>
        <v/>
      </c>
    </row>
    <row r="547" hidden="1" outlineLevel="1" ht="16" customHeight="1">
      <c r="A547" s="13" t="n"/>
      <c r="B547" s="14" t="n"/>
      <c r="C547" s="15" t="n"/>
      <c r="D547" s="56" t="n"/>
      <c r="E547" s="56" t="n"/>
      <c r="F547" s="17" t="n"/>
      <c r="G547" s="18">
        <f>IF(D547="Tandem",10,IF(D547="TT",22,IF(D547="Quad",25,"")))</f>
        <v/>
      </c>
      <c r="H547" s="19">
        <f>IFERROR(IF(F547*G547=0,0,F547*G547),0)</f>
        <v/>
      </c>
      <c r="I547" s="20" t="n"/>
      <c r="J547" s="57" t="n"/>
      <c r="K547" s="14" t="n"/>
      <c r="L547" s="22" t="n"/>
      <c r="M547" s="58" t="n"/>
      <c r="N547" s="22" t="n"/>
      <c r="O547" s="24">
        <f>IFERROR(IF(OR(M547="",M547=0),0,H547*VALUE(SUBSTITUTE(M547&amp;"","$",""))),0)</f>
        <v/>
      </c>
    </row>
    <row r="548" hidden="1" outlineLevel="1" ht="16" customHeight="1">
      <c r="A548" s="13" t="n"/>
      <c r="B548" s="25" t="n"/>
      <c r="C548" s="26" t="n"/>
      <c r="D548" s="56" t="n"/>
      <c r="E548" s="56" t="n"/>
      <c r="F548" s="27" t="n"/>
      <c r="G548" s="18">
        <f>IF(D548="Tandem",10,IF(D548="TT",22,IF(D548="Quad",25,"")))</f>
        <v/>
      </c>
      <c r="H548" s="28">
        <f>IFERROR(IF(F548*G548=0,0,F548*G548),0)</f>
        <v/>
      </c>
      <c r="I548" s="29" t="n"/>
      <c r="J548" s="57" t="n"/>
      <c r="K548" s="25" t="n"/>
      <c r="L548" s="30" t="n"/>
      <c r="M548" s="58" t="n"/>
      <c r="N548" s="30" t="n"/>
      <c r="O548" s="24">
        <f>IFERROR(IF(OR(M548="",M548=0),0,H548*VALUE(SUBSTITUTE(M548&amp;"","$",""))),0)</f>
        <v/>
      </c>
    </row>
    <row r="549" hidden="1" outlineLevel="1" ht="16" customHeight="1">
      <c r="A549" s="13" t="n"/>
      <c r="B549" s="14" t="n"/>
      <c r="C549" s="15" t="n"/>
      <c r="D549" s="56" t="n"/>
      <c r="E549" s="56" t="n"/>
      <c r="F549" s="17" t="n"/>
      <c r="G549" s="18">
        <f>IF(D549="Tandem",10,IF(D549="TT",22,IF(D549="Quad",25,"")))</f>
        <v/>
      </c>
      <c r="H549" s="19">
        <f>IFERROR(IF(F549*G549=0,0,F549*G549),0)</f>
        <v/>
      </c>
      <c r="I549" s="20" t="n"/>
      <c r="J549" s="57" t="n"/>
      <c r="K549" s="14" t="n"/>
      <c r="L549" s="22" t="n"/>
      <c r="M549" s="58" t="n"/>
      <c r="N549" s="22" t="n"/>
      <c r="O549" s="24">
        <f>IFERROR(IF(OR(M549="",M549=0),0,H549*VALUE(SUBSTITUTE(M549&amp;"","$",""))),0)</f>
        <v/>
      </c>
    </row>
    <row r="550" hidden="1" outlineLevel="1" ht="16" customHeight="1">
      <c r="A550" s="13" t="n"/>
      <c r="B550" s="25" t="n"/>
      <c r="C550" s="26" t="n"/>
      <c r="D550" s="56" t="n"/>
      <c r="E550" s="56" t="n"/>
      <c r="F550" s="27" t="n"/>
      <c r="G550" s="18">
        <f>IF(D550="Tandem",10,IF(D550="TT",22,IF(D550="Quad",25,"")))</f>
        <v/>
      </c>
      <c r="H550" s="28">
        <f>IFERROR(IF(F550*G550=0,0,F550*G550),0)</f>
        <v/>
      </c>
      <c r="I550" s="29" t="n"/>
      <c r="J550" s="57" t="n"/>
      <c r="K550" s="25" t="n"/>
      <c r="L550" s="30" t="n"/>
      <c r="M550" s="58" t="n"/>
      <c r="N550" s="30" t="n"/>
      <c r="O550" s="24">
        <f>IFERROR(IF(OR(M550="",M550=0),0,H550*VALUE(SUBSTITUTE(M550&amp;"","$",""))),0)</f>
        <v/>
      </c>
    </row>
    <row r="551" hidden="1" outlineLevel="1" ht="16" customHeight="1">
      <c r="A551" s="13" t="n"/>
      <c r="B551" s="14" t="n"/>
      <c r="C551" s="15" t="n"/>
      <c r="D551" s="56" t="n"/>
      <c r="E551" s="56" t="n"/>
      <c r="F551" s="17" t="n"/>
      <c r="G551" s="18">
        <f>IF(D551="Tandem",10,IF(D551="TT",22,IF(D551="Quad",25,"")))</f>
        <v/>
      </c>
      <c r="H551" s="19">
        <f>IFERROR(IF(F551*G551=0,0,F551*G551),0)</f>
        <v/>
      </c>
      <c r="I551" s="20" t="n"/>
      <c r="J551" s="57" t="n"/>
      <c r="K551" s="14" t="n"/>
      <c r="L551" s="22" t="n"/>
      <c r="M551" s="58" t="n"/>
      <c r="N551" s="22" t="n"/>
      <c r="O551" s="24">
        <f>IFERROR(IF(OR(M551="",M551=0),0,H551*VALUE(SUBSTITUTE(M551&amp;"","$",""))),0)</f>
        <v/>
      </c>
    </row>
    <row r="552" hidden="1" outlineLevel="1" ht="16" customHeight="1">
      <c r="A552" s="13" t="n"/>
      <c r="B552" s="25" t="n"/>
      <c r="C552" s="26" t="n"/>
      <c r="D552" s="56" t="n"/>
      <c r="E552" s="56" t="n"/>
      <c r="F552" s="27" t="n"/>
      <c r="G552" s="18">
        <f>IF(D552="Tandem",10,IF(D552="TT",22,IF(D552="Quad",25,"")))</f>
        <v/>
      </c>
      <c r="H552" s="28">
        <f>IFERROR(IF(F552*G552=0,0,F552*G552),0)</f>
        <v/>
      </c>
      <c r="I552" s="29" t="n"/>
      <c r="J552" s="57" t="n"/>
      <c r="K552" s="25" t="n"/>
      <c r="L552" s="30" t="n"/>
      <c r="M552" s="58" t="n"/>
      <c r="N552" s="30" t="n"/>
      <c r="O552" s="24">
        <f>IFERROR(IF(OR(M552="",M552=0),0,H552*VALUE(SUBSTITUTE(M552&amp;"","$",""))),0)</f>
        <v/>
      </c>
    </row>
    <row r="553" hidden="1" outlineLevel="1" ht="20" customHeight="1">
      <c r="A553" s="59" t="inlineStr">
        <is>
          <t>Daily Notes:</t>
        </is>
      </c>
      <c r="B553" s="54" t="n"/>
      <c r="C553" s="54" t="n"/>
      <c r="D553" s="54" t="n"/>
      <c r="E553" s="54" t="n"/>
      <c r="F553" s="54" t="n"/>
      <c r="G553" s="54" t="n"/>
      <c r="H553" s="54" t="n"/>
      <c r="I553" s="54" t="n"/>
      <c r="J553" s="54" t="n"/>
      <c r="K553" s="54" t="n"/>
      <c r="L553" s="54" t="n"/>
      <c r="M553" s="54" t="n"/>
      <c r="N553" s="50" t="n"/>
      <c r="O553" s="60" t="n"/>
    </row>
    <row r="554" hidden="1" outlineLevel="1" ht="18" customHeight="1">
      <c r="A554" s="32" t="inlineStr">
        <is>
          <t>DAILY TOTAL</t>
        </is>
      </c>
      <c r="B554" s="54" t="n"/>
      <c r="C554" s="54" t="n"/>
      <c r="D554" s="54" t="n"/>
      <c r="E554" s="54" t="n"/>
      <c r="F554" s="54" t="n"/>
      <c r="G554" s="50" t="n"/>
      <c r="H554" s="34">
        <f>SUM(H523:H552)</f>
        <v/>
      </c>
      <c r="I554" s="35">
        <f>SUM(I523:I552)</f>
        <v/>
      </c>
      <c r="J554" s="61" t="n"/>
      <c r="K554" s="61" t="n"/>
      <c r="L554" s="61" t="n"/>
      <c r="M554" s="36">
        <f>SUM(O523:O552)</f>
        <v/>
      </c>
      <c r="N554" s="61" t="n"/>
      <c r="O554" s="62" t="n"/>
    </row>
    <row r="555" hidden="1" outlineLevel="1" ht="18" customHeight="1">
      <c r="A555" s="2" t="inlineStr">
        <is>
          <t>▶ RUNNING TOTAL</t>
        </is>
      </c>
      <c r="B555" s="54" t="n"/>
      <c r="C555" s="54" t="n"/>
      <c r="D555" s="54" t="n"/>
      <c r="E555" s="54" t="n"/>
      <c r="F555" s="54" t="n"/>
      <c r="G555" s="50" t="n"/>
      <c r="H555" s="37">
        <f>H50+H86+H122+H158+H194+H230+H266+H302+H338+H374+H410+H446+H482+H518+H554</f>
        <v/>
      </c>
      <c r="I555" s="63" t="n"/>
      <c r="J555" s="63" t="n"/>
      <c r="K555" s="63" t="n"/>
      <c r="L555" s="63" t="n"/>
      <c r="M555" s="38">
        <f>M50+M86+M122+M158+M194+M230+M266+M302+M338+M374+M410+M446+M482+M518+M554</f>
        <v/>
      </c>
      <c r="N555" s="63" t="n"/>
      <c r="O555" s="64" t="n"/>
    </row>
    <row r="556" hidden="1" outlineLevel="1" ht="8" customHeight="1"/>
    <row r="557" ht="22" customHeight="1">
      <c r="A557" s="55" t="inlineStr">
        <is>
          <t>DAY 16</t>
        </is>
      </c>
      <c r="B557" s="54" t="n"/>
      <c r="C557" s="54" t="n"/>
      <c r="D557" s="54" t="n"/>
      <c r="E557" s="54" t="n"/>
      <c r="F557" s="54" t="n"/>
      <c r="G557" s="54" t="n"/>
      <c r="H557" s="54" t="n"/>
      <c r="I557" s="54" t="n"/>
      <c r="J557" s="54" t="n"/>
      <c r="K557" s="54" t="n"/>
      <c r="L557" s="54" t="n"/>
      <c r="M557" s="54" t="n"/>
      <c r="N557" s="50" t="n"/>
    </row>
    <row r="558" hidden="1" outlineLevel="1" ht="28" customHeight="1">
      <c r="A558" s="12" t="inlineStr">
        <is>
          <t>Date</t>
        </is>
      </c>
      <c r="B558" s="12" t="inlineStr">
        <is>
          <t>Cartage Company</t>
        </is>
      </c>
      <c r="C558" s="12" t="inlineStr">
        <is>
          <t>Truck Rego</t>
        </is>
      </c>
      <c r="D558" s="12" t="inlineStr">
        <is>
          <t>Truck Type</t>
        </is>
      </c>
      <c r="E558" s="12" t="inlineStr">
        <is>
          <t>Exp / Imp</t>
        </is>
      </c>
      <c r="F558" s="12" t="inlineStr">
        <is>
          <t>Loads</t>
        </is>
      </c>
      <c r="G558" s="12" t="inlineStr">
        <is>
          <t>m³ / Load</t>
        </is>
      </c>
      <c r="H558" s="12" t="inlineStr">
        <is>
          <t>Total m³</t>
        </is>
      </c>
      <c r="I558" s="12" t="inlineStr">
        <is>
          <t>Hours</t>
        </is>
      </c>
      <c r="J558" s="12" t="inlineStr">
        <is>
          <t>Material</t>
        </is>
      </c>
      <c r="K558" s="12" t="inlineStr">
        <is>
          <t>Tip Site</t>
        </is>
      </c>
      <c r="L558" s="12" t="inlineStr">
        <is>
          <t>Docket #</t>
        </is>
      </c>
      <c r="M558" s="12" t="inlineStr">
        <is>
          <t>Rate Paid ($/m³)</t>
        </is>
      </c>
      <c r="N558" s="12" t="inlineStr">
        <is>
          <t>Invoice #</t>
        </is>
      </c>
    </row>
    <row r="559" hidden="1" outlineLevel="1" ht="16" customHeight="1">
      <c r="A559" s="13" t="n"/>
      <c r="B559" s="14" t="n"/>
      <c r="C559" s="15" t="n"/>
      <c r="D559" s="56" t="n"/>
      <c r="E559" s="56" t="n"/>
      <c r="F559" s="17" t="n"/>
      <c r="G559" s="18">
        <f>IF(D559="Tandem",10,IF(D559="TT",22,IF(D559="Quad",25,"")))</f>
        <v/>
      </c>
      <c r="H559" s="19">
        <f>IFERROR(IF(F559*G559=0,0,F559*G559),0)</f>
        <v/>
      </c>
      <c r="I559" s="20" t="n"/>
      <c r="J559" s="57" t="n"/>
      <c r="K559" s="14" t="n"/>
      <c r="L559" s="22" t="n"/>
      <c r="M559" s="58" t="n"/>
      <c r="N559" s="22" t="n"/>
      <c r="O559" s="24">
        <f>IFERROR(IF(OR(M559="",M559=0),0,H559*VALUE(SUBSTITUTE(M559&amp;"","$",""))),0)</f>
        <v/>
      </c>
    </row>
    <row r="560" hidden="1" outlineLevel="1" ht="16" customHeight="1">
      <c r="A560" s="13" t="n"/>
      <c r="B560" s="25" t="n"/>
      <c r="C560" s="26" t="n"/>
      <c r="D560" s="56" t="n"/>
      <c r="E560" s="56" t="n"/>
      <c r="F560" s="27" t="n"/>
      <c r="G560" s="18">
        <f>IF(D560="Tandem",10,IF(D560="TT",22,IF(D560="Quad",25,"")))</f>
        <v/>
      </c>
      <c r="H560" s="28">
        <f>IFERROR(IF(F560*G560=0,0,F560*G560),0)</f>
        <v/>
      </c>
      <c r="I560" s="29" t="n"/>
      <c r="J560" s="57" t="n"/>
      <c r="K560" s="25" t="n"/>
      <c r="L560" s="30" t="n"/>
      <c r="M560" s="58" t="n"/>
      <c r="N560" s="30" t="n"/>
      <c r="O560" s="24">
        <f>IFERROR(IF(OR(M560="",M560=0),0,H560*VALUE(SUBSTITUTE(M560&amp;"","$",""))),0)</f>
        <v/>
      </c>
    </row>
    <row r="561" hidden="1" outlineLevel="1" ht="16" customHeight="1">
      <c r="A561" s="13" t="n"/>
      <c r="B561" s="14" t="n"/>
      <c r="C561" s="15" t="n"/>
      <c r="D561" s="56" t="n"/>
      <c r="E561" s="56" t="n"/>
      <c r="F561" s="17" t="n"/>
      <c r="G561" s="18">
        <f>IF(D561="Tandem",10,IF(D561="TT",22,IF(D561="Quad",25,"")))</f>
        <v/>
      </c>
      <c r="H561" s="19">
        <f>IFERROR(IF(F561*G561=0,0,F561*G561),0)</f>
        <v/>
      </c>
      <c r="I561" s="20" t="n"/>
      <c r="J561" s="57" t="n"/>
      <c r="K561" s="14" t="n"/>
      <c r="L561" s="22" t="n"/>
      <c r="M561" s="58" t="n"/>
      <c r="N561" s="22" t="n"/>
      <c r="O561" s="24">
        <f>IFERROR(IF(OR(M561="",M561=0),0,H561*VALUE(SUBSTITUTE(M561&amp;"","$",""))),0)</f>
        <v/>
      </c>
    </row>
    <row r="562" hidden="1" outlineLevel="1" ht="16" customHeight="1">
      <c r="A562" s="13" t="n"/>
      <c r="B562" s="25" t="n"/>
      <c r="C562" s="26" t="n"/>
      <c r="D562" s="56" t="n"/>
      <c r="E562" s="56" t="n"/>
      <c r="F562" s="27" t="n"/>
      <c r="G562" s="18">
        <f>IF(D562="Tandem",10,IF(D562="TT",22,IF(D562="Quad",25,"")))</f>
        <v/>
      </c>
      <c r="H562" s="28">
        <f>IFERROR(IF(F562*G562=0,0,F562*G562),0)</f>
        <v/>
      </c>
      <c r="I562" s="29" t="n"/>
      <c r="J562" s="57" t="n"/>
      <c r="K562" s="25" t="n"/>
      <c r="L562" s="30" t="n"/>
      <c r="M562" s="58" t="n"/>
      <c r="N562" s="30" t="n"/>
      <c r="O562" s="24">
        <f>IFERROR(IF(OR(M562="",M562=0),0,H562*VALUE(SUBSTITUTE(M562&amp;"","$",""))),0)</f>
        <v/>
      </c>
    </row>
    <row r="563" hidden="1" outlineLevel="1" ht="16" customHeight="1">
      <c r="A563" s="13" t="n"/>
      <c r="B563" s="14" t="n"/>
      <c r="C563" s="15" t="n"/>
      <c r="D563" s="56" t="n"/>
      <c r="E563" s="56" t="n"/>
      <c r="F563" s="17" t="n"/>
      <c r="G563" s="18">
        <f>IF(D563="Tandem",10,IF(D563="TT",22,IF(D563="Quad",25,"")))</f>
        <v/>
      </c>
      <c r="H563" s="19">
        <f>IFERROR(IF(F563*G563=0,0,F563*G563),0)</f>
        <v/>
      </c>
      <c r="I563" s="20" t="n"/>
      <c r="J563" s="57" t="n"/>
      <c r="K563" s="14" t="n"/>
      <c r="L563" s="22" t="n"/>
      <c r="M563" s="58" t="n"/>
      <c r="N563" s="22" t="n"/>
      <c r="O563" s="24">
        <f>IFERROR(IF(OR(M563="",M563=0),0,H563*VALUE(SUBSTITUTE(M563&amp;"","$",""))),0)</f>
        <v/>
      </c>
    </row>
    <row r="564" hidden="1" outlineLevel="1" ht="16" customHeight="1">
      <c r="A564" s="13" t="n"/>
      <c r="B564" s="25" t="n"/>
      <c r="C564" s="26" t="n"/>
      <c r="D564" s="56" t="n"/>
      <c r="E564" s="56" t="n"/>
      <c r="F564" s="27" t="n"/>
      <c r="G564" s="18">
        <f>IF(D564="Tandem",10,IF(D564="TT",22,IF(D564="Quad",25,"")))</f>
        <v/>
      </c>
      <c r="H564" s="28">
        <f>IFERROR(IF(F564*G564=0,0,F564*G564),0)</f>
        <v/>
      </c>
      <c r="I564" s="29" t="n"/>
      <c r="J564" s="57" t="n"/>
      <c r="K564" s="25" t="n"/>
      <c r="L564" s="30" t="n"/>
      <c r="M564" s="58" t="n"/>
      <c r="N564" s="30" t="n"/>
      <c r="O564" s="24">
        <f>IFERROR(IF(OR(M564="",M564=0),0,H564*VALUE(SUBSTITUTE(M564&amp;"","$",""))),0)</f>
        <v/>
      </c>
    </row>
    <row r="565" hidden="1" outlineLevel="1" ht="16" customHeight="1">
      <c r="A565" s="13" t="n"/>
      <c r="B565" s="14" t="n"/>
      <c r="C565" s="15" t="n"/>
      <c r="D565" s="56" t="n"/>
      <c r="E565" s="56" t="n"/>
      <c r="F565" s="17" t="n"/>
      <c r="G565" s="18">
        <f>IF(D565="Tandem",10,IF(D565="TT",22,IF(D565="Quad",25,"")))</f>
        <v/>
      </c>
      <c r="H565" s="19">
        <f>IFERROR(IF(F565*G565=0,0,F565*G565),0)</f>
        <v/>
      </c>
      <c r="I565" s="20" t="n"/>
      <c r="J565" s="57" t="n"/>
      <c r="K565" s="14" t="n"/>
      <c r="L565" s="22" t="n"/>
      <c r="M565" s="58" t="n"/>
      <c r="N565" s="22" t="n"/>
      <c r="O565" s="24">
        <f>IFERROR(IF(OR(M565="",M565=0),0,H565*VALUE(SUBSTITUTE(M565&amp;"","$",""))),0)</f>
        <v/>
      </c>
    </row>
    <row r="566" hidden="1" outlineLevel="1" ht="16" customHeight="1">
      <c r="A566" s="13" t="n"/>
      <c r="B566" s="25" t="n"/>
      <c r="C566" s="26" t="n"/>
      <c r="D566" s="56" t="n"/>
      <c r="E566" s="56" t="n"/>
      <c r="F566" s="27" t="n"/>
      <c r="G566" s="18">
        <f>IF(D566="Tandem",10,IF(D566="TT",22,IF(D566="Quad",25,"")))</f>
        <v/>
      </c>
      <c r="H566" s="28">
        <f>IFERROR(IF(F566*G566=0,0,F566*G566),0)</f>
        <v/>
      </c>
      <c r="I566" s="29" t="n"/>
      <c r="J566" s="57" t="n"/>
      <c r="K566" s="25" t="n"/>
      <c r="L566" s="30" t="n"/>
      <c r="M566" s="58" t="n"/>
      <c r="N566" s="30" t="n"/>
      <c r="O566" s="24">
        <f>IFERROR(IF(OR(M566="",M566=0),0,H566*VALUE(SUBSTITUTE(M566&amp;"","$",""))),0)</f>
        <v/>
      </c>
    </row>
    <row r="567" hidden="1" outlineLevel="1" ht="16" customHeight="1">
      <c r="A567" s="13" t="n"/>
      <c r="B567" s="14" t="n"/>
      <c r="C567" s="15" t="n"/>
      <c r="D567" s="56" t="n"/>
      <c r="E567" s="56" t="n"/>
      <c r="F567" s="17" t="n"/>
      <c r="G567" s="18">
        <f>IF(D567="Tandem",10,IF(D567="TT",22,IF(D567="Quad",25,"")))</f>
        <v/>
      </c>
      <c r="H567" s="19">
        <f>IFERROR(IF(F567*G567=0,0,F567*G567),0)</f>
        <v/>
      </c>
      <c r="I567" s="20" t="n"/>
      <c r="J567" s="57" t="n"/>
      <c r="K567" s="14" t="n"/>
      <c r="L567" s="22" t="n"/>
      <c r="M567" s="58" t="n"/>
      <c r="N567" s="22" t="n"/>
      <c r="O567" s="24">
        <f>IFERROR(IF(OR(M567="",M567=0),0,H567*VALUE(SUBSTITUTE(M567&amp;"","$",""))),0)</f>
        <v/>
      </c>
    </row>
    <row r="568" hidden="1" outlineLevel="1" ht="16" customHeight="1">
      <c r="A568" s="13" t="n"/>
      <c r="B568" s="25" t="n"/>
      <c r="C568" s="26" t="n"/>
      <c r="D568" s="56" t="n"/>
      <c r="E568" s="56" t="n"/>
      <c r="F568" s="27" t="n"/>
      <c r="G568" s="18">
        <f>IF(D568="Tandem",10,IF(D568="TT",22,IF(D568="Quad",25,"")))</f>
        <v/>
      </c>
      <c r="H568" s="28">
        <f>IFERROR(IF(F568*G568=0,0,F568*G568),0)</f>
        <v/>
      </c>
      <c r="I568" s="29" t="n"/>
      <c r="J568" s="57" t="n"/>
      <c r="K568" s="25" t="n"/>
      <c r="L568" s="30" t="n"/>
      <c r="M568" s="58" t="n"/>
      <c r="N568" s="30" t="n"/>
      <c r="O568" s="24">
        <f>IFERROR(IF(OR(M568="",M568=0),0,H568*VALUE(SUBSTITUTE(M568&amp;"","$",""))),0)</f>
        <v/>
      </c>
    </row>
    <row r="569" hidden="1" outlineLevel="1" ht="16" customHeight="1">
      <c r="A569" s="13" t="n"/>
      <c r="B569" s="14" t="n"/>
      <c r="C569" s="15" t="n"/>
      <c r="D569" s="56" t="n"/>
      <c r="E569" s="56" t="n"/>
      <c r="F569" s="17" t="n"/>
      <c r="G569" s="18">
        <f>IF(D569="Tandem",10,IF(D569="TT",22,IF(D569="Quad",25,"")))</f>
        <v/>
      </c>
      <c r="H569" s="19">
        <f>IFERROR(IF(F569*G569=0,0,F569*G569),0)</f>
        <v/>
      </c>
      <c r="I569" s="20" t="n"/>
      <c r="J569" s="57" t="n"/>
      <c r="K569" s="14" t="n"/>
      <c r="L569" s="22" t="n"/>
      <c r="M569" s="58" t="n"/>
      <c r="N569" s="22" t="n"/>
      <c r="O569" s="24">
        <f>IFERROR(IF(OR(M569="",M569=0),0,H569*VALUE(SUBSTITUTE(M569&amp;"","$",""))),0)</f>
        <v/>
      </c>
    </row>
    <row r="570" hidden="1" outlineLevel="1" ht="16" customHeight="1">
      <c r="A570" s="13" t="n"/>
      <c r="B570" s="25" t="n"/>
      <c r="C570" s="26" t="n"/>
      <c r="D570" s="56" t="n"/>
      <c r="E570" s="56" t="n"/>
      <c r="F570" s="27" t="n"/>
      <c r="G570" s="18">
        <f>IF(D570="Tandem",10,IF(D570="TT",22,IF(D570="Quad",25,"")))</f>
        <v/>
      </c>
      <c r="H570" s="28">
        <f>IFERROR(IF(F570*G570=0,0,F570*G570),0)</f>
        <v/>
      </c>
      <c r="I570" s="29" t="n"/>
      <c r="J570" s="57" t="n"/>
      <c r="K570" s="25" t="n"/>
      <c r="L570" s="30" t="n"/>
      <c r="M570" s="58" t="n"/>
      <c r="N570" s="30" t="n"/>
      <c r="O570" s="24">
        <f>IFERROR(IF(OR(M570="",M570=0),0,H570*VALUE(SUBSTITUTE(M570&amp;"","$",""))),0)</f>
        <v/>
      </c>
    </row>
    <row r="571" hidden="1" outlineLevel="1" ht="16" customHeight="1">
      <c r="A571" s="13" t="n"/>
      <c r="B571" s="14" t="n"/>
      <c r="C571" s="15" t="n"/>
      <c r="D571" s="56" t="n"/>
      <c r="E571" s="56" t="n"/>
      <c r="F571" s="17" t="n"/>
      <c r="G571" s="18">
        <f>IF(D571="Tandem",10,IF(D571="TT",22,IF(D571="Quad",25,"")))</f>
        <v/>
      </c>
      <c r="H571" s="19">
        <f>IFERROR(IF(F571*G571=0,0,F571*G571),0)</f>
        <v/>
      </c>
      <c r="I571" s="20" t="n"/>
      <c r="J571" s="57" t="n"/>
      <c r="K571" s="14" t="n"/>
      <c r="L571" s="22" t="n"/>
      <c r="M571" s="58" t="n"/>
      <c r="N571" s="22" t="n"/>
      <c r="O571" s="24">
        <f>IFERROR(IF(OR(M571="",M571=0),0,H571*VALUE(SUBSTITUTE(M571&amp;"","$",""))),0)</f>
        <v/>
      </c>
    </row>
    <row r="572" hidden="1" outlineLevel="1" ht="16" customHeight="1">
      <c r="A572" s="13" t="n"/>
      <c r="B572" s="25" t="n"/>
      <c r="C572" s="26" t="n"/>
      <c r="D572" s="56" t="n"/>
      <c r="E572" s="56" t="n"/>
      <c r="F572" s="27" t="n"/>
      <c r="G572" s="18">
        <f>IF(D572="Tandem",10,IF(D572="TT",22,IF(D572="Quad",25,"")))</f>
        <v/>
      </c>
      <c r="H572" s="28">
        <f>IFERROR(IF(F572*G572=0,0,F572*G572),0)</f>
        <v/>
      </c>
      <c r="I572" s="29" t="n"/>
      <c r="J572" s="57" t="n"/>
      <c r="K572" s="25" t="n"/>
      <c r="L572" s="30" t="n"/>
      <c r="M572" s="58" t="n"/>
      <c r="N572" s="30" t="n"/>
      <c r="O572" s="24">
        <f>IFERROR(IF(OR(M572="",M572=0),0,H572*VALUE(SUBSTITUTE(M572&amp;"","$",""))),0)</f>
        <v/>
      </c>
    </row>
    <row r="573" hidden="1" outlineLevel="1" ht="16" customHeight="1">
      <c r="A573" s="13" t="n"/>
      <c r="B573" s="14" t="n"/>
      <c r="C573" s="15" t="n"/>
      <c r="D573" s="56" t="n"/>
      <c r="E573" s="56" t="n"/>
      <c r="F573" s="17" t="n"/>
      <c r="G573" s="18">
        <f>IF(D573="Tandem",10,IF(D573="TT",22,IF(D573="Quad",25,"")))</f>
        <v/>
      </c>
      <c r="H573" s="19">
        <f>IFERROR(IF(F573*G573=0,0,F573*G573),0)</f>
        <v/>
      </c>
      <c r="I573" s="20" t="n"/>
      <c r="J573" s="57" t="n"/>
      <c r="K573" s="14" t="n"/>
      <c r="L573" s="22" t="n"/>
      <c r="M573" s="58" t="n"/>
      <c r="N573" s="22" t="n"/>
      <c r="O573" s="24">
        <f>IFERROR(IF(OR(M573="",M573=0),0,H573*VALUE(SUBSTITUTE(M573&amp;"","$",""))),0)</f>
        <v/>
      </c>
    </row>
    <row r="574" hidden="1" outlineLevel="1" ht="16" customHeight="1">
      <c r="A574" s="13" t="n"/>
      <c r="B574" s="25" t="n"/>
      <c r="C574" s="26" t="n"/>
      <c r="D574" s="56" t="n"/>
      <c r="E574" s="56" t="n"/>
      <c r="F574" s="27" t="n"/>
      <c r="G574" s="18">
        <f>IF(D574="Tandem",10,IF(D574="TT",22,IF(D574="Quad",25,"")))</f>
        <v/>
      </c>
      <c r="H574" s="28">
        <f>IFERROR(IF(F574*G574=0,0,F574*G574),0)</f>
        <v/>
      </c>
      <c r="I574" s="29" t="n"/>
      <c r="J574" s="57" t="n"/>
      <c r="K574" s="25" t="n"/>
      <c r="L574" s="30" t="n"/>
      <c r="M574" s="58" t="n"/>
      <c r="N574" s="30" t="n"/>
      <c r="O574" s="24">
        <f>IFERROR(IF(OR(M574="",M574=0),0,H574*VALUE(SUBSTITUTE(M574&amp;"","$",""))),0)</f>
        <v/>
      </c>
    </row>
    <row r="575" hidden="1" outlineLevel="1" ht="16" customHeight="1">
      <c r="A575" s="13" t="n"/>
      <c r="B575" s="14" t="n"/>
      <c r="C575" s="15" t="n"/>
      <c r="D575" s="56" t="n"/>
      <c r="E575" s="56" t="n"/>
      <c r="F575" s="17" t="n"/>
      <c r="G575" s="18">
        <f>IF(D575="Tandem",10,IF(D575="TT",22,IF(D575="Quad",25,"")))</f>
        <v/>
      </c>
      <c r="H575" s="19">
        <f>IFERROR(IF(F575*G575=0,0,F575*G575),0)</f>
        <v/>
      </c>
      <c r="I575" s="20" t="n"/>
      <c r="J575" s="57" t="n"/>
      <c r="K575" s="14" t="n"/>
      <c r="L575" s="22" t="n"/>
      <c r="M575" s="58" t="n"/>
      <c r="N575" s="22" t="n"/>
      <c r="O575" s="24">
        <f>IFERROR(IF(OR(M575="",M575=0),0,H575*VALUE(SUBSTITUTE(M575&amp;"","$",""))),0)</f>
        <v/>
      </c>
    </row>
    <row r="576" hidden="1" outlineLevel="1" ht="16" customHeight="1">
      <c r="A576" s="13" t="n"/>
      <c r="B576" s="25" t="n"/>
      <c r="C576" s="26" t="n"/>
      <c r="D576" s="56" t="n"/>
      <c r="E576" s="56" t="n"/>
      <c r="F576" s="27" t="n"/>
      <c r="G576" s="18">
        <f>IF(D576="Tandem",10,IF(D576="TT",22,IF(D576="Quad",25,"")))</f>
        <v/>
      </c>
      <c r="H576" s="28">
        <f>IFERROR(IF(F576*G576=0,0,F576*G576),0)</f>
        <v/>
      </c>
      <c r="I576" s="29" t="n"/>
      <c r="J576" s="57" t="n"/>
      <c r="K576" s="25" t="n"/>
      <c r="L576" s="30" t="n"/>
      <c r="M576" s="58" t="n"/>
      <c r="N576" s="30" t="n"/>
      <c r="O576" s="24">
        <f>IFERROR(IF(OR(M576="",M576=0),0,H576*VALUE(SUBSTITUTE(M576&amp;"","$",""))),0)</f>
        <v/>
      </c>
    </row>
    <row r="577" hidden="1" outlineLevel="1" ht="16" customHeight="1">
      <c r="A577" s="13" t="n"/>
      <c r="B577" s="14" t="n"/>
      <c r="C577" s="15" t="n"/>
      <c r="D577" s="56" t="n"/>
      <c r="E577" s="56" t="n"/>
      <c r="F577" s="17" t="n"/>
      <c r="G577" s="18">
        <f>IF(D577="Tandem",10,IF(D577="TT",22,IF(D577="Quad",25,"")))</f>
        <v/>
      </c>
      <c r="H577" s="19">
        <f>IFERROR(IF(F577*G577=0,0,F577*G577),0)</f>
        <v/>
      </c>
      <c r="I577" s="20" t="n"/>
      <c r="J577" s="57" t="n"/>
      <c r="K577" s="14" t="n"/>
      <c r="L577" s="22" t="n"/>
      <c r="M577" s="58" t="n"/>
      <c r="N577" s="22" t="n"/>
      <c r="O577" s="24">
        <f>IFERROR(IF(OR(M577="",M577=0),0,H577*VALUE(SUBSTITUTE(M577&amp;"","$",""))),0)</f>
        <v/>
      </c>
    </row>
    <row r="578" hidden="1" outlineLevel="1" ht="16" customHeight="1">
      <c r="A578" s="13" t="n"/>
      <c r="B578" s="25" t="n"/>
      <c r="C578" s="26" t="n"/>
      <c r="D578" s="56" t="n"/>
      <c r="E578" s="56" t="n"/>
      <c r="F578" s="27" t="n"/>
      <c r="G578" s="18">
        <f>IF(D578="Tandem",10,IF(D578="TT",22,IF(D578="Quad",25,"")))</f>
        <v/>
      </c>
      <c r="H578" s="28">
        <f>IFERROR(IF(F578*G578=0,0,F578*G578),0)</f>
        <v/>
      </c>
      <c r="I578" s="29" t="n"/>
      <c r="J578" s="57" t="n"/>
      <c r="K578" s="25" t="n"/>
      <c r="L578" s="30" t="n"/>
      <c r="M578" s="58" t="n"/>
      <c r="N578" s="30" t="n"/>
      <c r="O578" s="24">
        <f>IFERROR(IF(OR(M578="",M578=0),0,H578*VALUE(SUBSTITUTE(M578&amp;"","$",""))),0)</f>
        <v/>
      </c>
    </row>
    <row r="579" hidden="1" outlineLevel="1" ht="16" customHeight="1">
      <c r="A579" s="13" t="n"/>
      <c r="B579" s="14" t="n"/>
      <c r="C579" s="15" t="n"/>
      <c r="D579" s="56" t="n"/>
      <c r="E579" s="56" t="n"/>
      <c r="F579" s="17" t="n"/>
      <c r="G579" s="18">
        <f>IF(D579="Tandem",10,IF(D579="TT",22,IF(D579="Quad",25,"")))</f>
        <v/>
      </c>
      <c r="H579" s="19">
        <f>IFERROR(IF(F579*G579=0,0,F579*G579),0)</f>
        <v/>
      </c>
      <c r="I579" s="20" t="n"/>
      <c r="J579" s="57" t="n"/>
      <c r="K579" s="14" t="n"/>
      <c r="L579" s="22" t="n"/>
      <c r="M579" s="58" t="n"/>
      <c r="N579" s="22" t="n"/>
      <c r="O579" s="24">
        <f>IFERROR(IF(OR(M579="",M579=0),0,H579*VALUE(SUBSTITUTE(M579&amp;"","$",""))),0)</f>
        <v/>
      </c>
    </row>
    <row r="580" hidden="1" outlineLevel="1" ht="16" customHeight="1">
      <c r="A580" s="13" t="n"/>
      <c r="B580" s="25" t="n"/>
      <c r="C580" s="26" t="n"/>
      <c r="D580" s="56" t="n"/>
      <c r="E580" s="56" t="n"/>
      <c r="F580" s="27" t="n"/>
      <c r="G580" s="18">
        <f>IF(D580="Tandem",10,IF(D580="TT",22,IF(D580="Quad",25,"")))</f>
        <v/>
      </c>
      <c r="H580" s="28">
        <f>IFERROR(IF(F580*G580=0,0,F580*G580),0)</f>
        <v/>
      </c>
      <c r="I580" s="29" t="n"/>
      <c r="J580" s="57" t="n"/>
      <c r="K580" s="25" t="n"/>
      <c r="L580" s="30" t="n"/>
      <c r="M580" s="58" t="n"/>
      <c r="N580" s="30" t="n"/>
      <c r="O580" s="24">
        <f>IFERROR(IF(OR(M580="",M580=0),0,H580*VALUE(SUBSTITUTE(M580&amp;"","$",""))),0)</f>
        <v/>
      </c>
    </row>
    <row r="581" hidden="1" outlineLevel="1" ht="16" customHeight="1">
      <c r="A581" s="13" t="n"/>
      <c r="B581" s="14" t="n"/>
      <c r="C581" s="15" t="n"/>
      <c r="D581" s="56" t="n"/>
      <c r="E581" s="56" t="n"/>
      <c r="F581" s="17" t="n"/>
      <c r="G581" s="18">
        <f>IF(D581="Tandem",10,IF(D581="TT",22,IF(D581="Quad",25,"")))</f>
        <v/>
      </c>
      <c r="H581" s="19">
        <f>IFERROR(IF(F581*G581=0,0,F581*G581),0)</f>
        <v/>
      </c>
      <c r="I581" s="20" t="n"/>
      <c r="J581" s="57" t="n"/>
      <c r="K581" s="14" t="n"/>
      <c r="L581" s="22" t="n"/>
      <c r="M581" s="58" t="n"/>
      <c r="N581" s="22" t="n"/>
      <c r="O581" s="24">
        <f>IFERROR(IF(OR(M581="",M581=0),0,H581*VALUE(SUBSTITUTE(M581&amp;"","$",""))),0)</f>
        <v/>
      </c>
    </row>
    <row r="582" hidden="1" outlineLevel="1" ht="16" customHeight="1">
      <c r="A582" s="13" t="n"/>
      <c r="B582" s="25" t="n"/>
      <c r="C582" s="26" t="n"/>
      <c r="D582" s="56" t="n"/>
      <c r="E582" s="56" t="n"/>
      <c r="F582" s="27" t="n"/>
      <c r="G582" s="18">
        <f>IF(D582="Tandem",10,IF(D582="TT",22,IF(D582="Quad",25,"")))</f>
        <v/>
      </c>
      <c r="H582" s="28">
        <f>IFERROR(IF(F582*G582=0,0,F582*G582),0)</f>
        <v/>
      </c>
      <c r="I582" s="29" t="n"/>
      <c r="J582" s="57" t="n"/>
      <c r="K582" s="25" t="n"/>
      <c r="L582" s="30" t="n"/>
      <c r="M582" s="58" t="n"/>
      <c r="N582" s="30" t="n"/>
      <c r="O582" s="24">
        <f>IFERROR(IF(OR(M582="",M582=0),0,H582*VALUE(SUBSTITUTE(M582&amp;"","$",""))),0)</f>
        <v/>
      </c>
    </row>
    <row r="583" hidden="1" outlineLevel="1" ht="16" customHeight="1">
      <c r="A583" s="13" t="n"/>
      <c r="B583" s="14" t="n"/>
      <c r="C583" s="15" t="n"/>
      <c r="D583" s="56" t="n"/>
      <c r="E583" s="56" t="n"/>
      <c r="F583" s="17" t="n"/>
      <c r="G583" s="18">
        <f>IF(D583="Tandem",10,IF(D583="TT",22,IF(D583="Quad",25,"")))</f>
        <v/>
      </c>
      <c r="H583" s="19">
        <f>IFERROR(IF(F583*G583=0,0,F583*G583),0)</f>
        <v/>
      </c>
      <c r="I583" s="20" t="n"/>
      <c r="J583" s="57" t="n"/>
      <c r="K583" s="14" t="n"/>
      <c r="L583" s="22" t="n"/>
      <c r="M583" s="58" t="n"/>
      <c r="N583" s="22" t="n"/>
      <c r="O583" s="24">
        <f>IFERROR(IF(OR(M583="",M583=0),0,H583*VALUE(SUBSTITUTE(M583&amp;"","$",""))),0)</f>
        <v/>
      </c>
    </row>
    <row r="584" hidden="1" outlineLevel="1" ht="16" customHeight="1">
      <c r="A584" s="13" t="n"/>
      <c r="B584" s="25" t="n"/>
      <c r="C584" s="26" t="n"/>
      <c r="D584" s="56" t="n"/>
      <c r="E584" s="56" t="n"/>
      <c r="F584" s="27" t="n"/>
      <c r="G584" s="18">
        <f>IF(D584="Tandem",10,IF(D584="TT",22,IF(D584="Quad",25,"")))</f>
        <v/>
      </c>
      <c r="H584" s="28">
        <f>IFERROR(IF(F584*G584=0,0,F584*G584),0)</f>
        <v/>
      </c>
      <c r="I584" s="29" t="n"/>
      <c r="J584" s="57" t="n"/>
      <c r="K584" s="25" t="n"/>
      <c r="L584" s="30" t="n"/>
      <c r="M584" s="58" t="n"/>
      <c r="N584" s="30" t="n"/>
      <c r="O584" s="24">
        <f>IFERROR(IF(OR(M584="",M584=0),0,H584*VALUE(SUBSTITUTE(M584&amp;"","$",""))),0)</f>
        <v/>
      </c>
    </row>
    <row r="585" hidden="1" outlineLevel="1" ht="16" customHeight="1">
      <c r="A585" s="13" t="n"/>
      <c r="B585" s="14" t="n"/>
      <c r="C585" s="15" t="n"/>
      <c r="D585" s="56" t="n"/>
      <c r="E585" s="56" t="n"/>
      <c r="F585" s="17" t="n"/>
      <c r="G585" s="18">
        <f>IF(D585="Tandem",10,IF(D585="TT",22,IF(D585="Quad",25,"")))</f>
        <v/>
      </c>
      <c r="H585" s="19">
        <f>IFERROR(IF(F585*G585=0,0,F585*G585),0)</f>
        <v/>
      </c>
      <c r="I585" s="20" t="n"/>
      <c r="J585" s="57" t="n"/>
      <c r="K585" s="14" t="n"/>
      <c r="L585" s="22" t="n"/>
      <c r="M585" s="58" t="n"/>
      <c r="N585" s="22" t="n"/>
      <c r="O585" s="24">
        <f>IFERROR(IF(OR(M585="",M585=0),0,H585*VALUE(SUBSTITUTE(M585&amp;"","$",""))),0)</f>
        <v/>
      </c>
    </row>
    <row r="586" hidden="1" outlineLevel="1" ht="16" customHeight="1">
      <c r="A586" s="13" t="n"/>
      <c r="B586" s="25" t="n"/>
      <c r="C586" s="26" t="n"/>
      <c r="D586" s="56" t="n"/>
      <c r="E586" s="56" t="n"/>
      <c r="F586" s="27" t="n"/>
      <c r="G586" s="18">
        <f>IF(D586="Tandem",10,IF(D586="TT",22,IF(D586="Quad",25,"")))</f>
        <v/>
      </c>
      <c r="H586" s="28">
        <f>IFERROR(IF(F586*G586=0,0,F586*G586),0)</f>
        <v/>
      </c>
      <c r="I586" s="29" t="n"/>
      <c r="J586" s="57" t="n"/>
      <c r="K586" s="25" t="n"/>
      <c r="L586" s="30" t="n"/>
      <c r="M586" s="58" t="n"/>
      <c r="N586" s="30" t="n"/>
      <c r="O586" s="24">
        <f>IFERROR(IF(OR(M586="",M586=0),0,H586*VALUE(SUBSTITUTE(M586&amp;"","$",""))),0)</f>
        <v/>
      </c>
    </row>
    <row r="587" hidden="1" outlineLevel="1" ht="16" customHeight="1">
      <c r="A587" s="13" t="n"/>
      <c r="B587" s="14" t="n"/>
      <c r="C587" s="15" t="n"/>
      <c r="D587" s="56" t="n"/>
      <c r="E587" s="56" t="n"/>
      <c r="F587" s="17" t="n"/>
      <c r="G587" s="18">
        <f>IF(D587="Tandem",10,IF(D587="TT",22,IF(D587="Quad",25,"")))</f>
        <v/>
      </c>
      <c r="H587" s="19">
        <f>IFERROR(IF(F587*G587=0,0,F587*G587),0)</f>
        <v/>
      </c>
      <c r="I587" s="20" t="n"/>
      <c r="J587" s="57" t="n"/>
      <c r="K587" s="14" t="n"/>
      <c r="L587" s="22" t="n"/>
      <c r="M587" s="58" t="n"/>
      <c r="N587" s="22" t="n"/>
      <c r="O587" s="24">
        <f>IFERROR(IF(OR(M587="",M587=0),0,H587*VALUE(SUBSTITUTE(M587&amp;"","$",""))),0)</f>
        <v/>
      </c>
    </row>
    <row r="588" hidden="1" outlineLevel="1" ht="16" customHeight="1">
      <c r="A588" s="13" t="n"/>
      <c r="B588" s="25" t="n"/>
      <c r="C588" s="26" t="n"/>
      <c r="D588" s="56" t="n"/>
      <c r="E588" s="56" t="n"/>
      <c r="F588" s="27" t="n"/>
      <c r="G588" s="18">
        <f>IF(D588="Tandem",10,IF(D588="TT",22,IF(D588="Quad",25,"")))</f>
        <v/>
      </c>
      <c r="H588" s="28">
        <f>IFERROR(IF(F588*G588=0,0,F588*G588),0)</f>
        <v/>
      </c>
      <c r="I588" s="29" t="n"/>
      <c r="J588" s="57" t="n"/>
      <c r="K588" s="25" t="n"/>
      <c r="L588" s="30" t="n"/>
      <c r="M588" s="58" t="n"/>
      <c r="N588" s="30" t="n"/>
      <c r="O588" s="24">
        <f>IFERROR(IF(OR(M588="",M588=0),0,H588*VALUE(SUBSTITUTE(M588&amp;"","$",""))),0)</f>
        <v/>
      </c>
    </row>
    <row r="589" hidden="1" outlineLevel="1" ht="20" customHeight="1">
      <c r="A589" s="59" t="inlineStr">
        <is>
          <t>Daily Notes:</t>
        </is>
      </c>
      <c r="B589" s="54" t="n"/>
      <c r="C589" s="54" t="n"/>
      <c r="D589" s="54" t="n"/>
      <c r="E589" s="54" t="n"/>
      <c r="F589" s="54" t="n"/>
      <c r="G589" s="54" t="n"/>
      <c r="H589" s="54" t="n"/>
      <c r="I589" s="54" t="n"/>
      <c r="J589" s="54" t="n"/>
      <c r="K589" s="54" t="n"/>
      <c r="L589" s="54" t="n"/>
      <c r="M589" s="54" t="n"/>
      <c r="N589" s="50" t="n"/>
      <c r="O589" s="60" t="n"/>
    </row>
    <row r="590" hidden="1" outlineLevel="1" ht="18" customHeight="1">
      <c r="A590" s="32" t="inlineStr">
        <is>
          <t>DAILY TOTAL</t>
        </is>
      </c>
      <c r="B590" s="54" t="n"/>
      <c r="C590" s="54" t="n"/>
      <c r="D590" s="54" t="n"/>
      <c r="E590" s="54" t="n"/>
      <c r="F590" s="54" t="n"/>
      <c r="G590" s="50" t="n"/>
      <c r="H590" s="34">
        <f>SUM(H559:H588)</f>
        <v/>
      </c>
      <c r="I590" s="35">
        <f>SUM(I559:I588)</f>
        <v/>
      </c>
      <c r="J590" s="61" t="n"/>
      <c r="K590" s="61" t="n"/>
      <c r="L590" s="61" t="n"/>
      <c r="M590" s="36">
        <f>SUM(O559:O588)</f>
        <v/>
      </c>
      <c r="N590" s="61" t="n"/>
      <c r="O590" s="62" t="n"/>
    </row>
    <row r="591" hidden="1" outlineLevel="1" ht="18" customHeight="1">
      <c r="A591" s="2" t="inlineStr">
        <is>
          <t>▶ RUNNING TOTAL</t>
        </is>
      </c>
      <c r="B591" s="54" t="n"/>
      <c r="C591" s="54" t="n"/>
      <c r="D591" s="54" t="n"/>
      <c r="E591" s="54" t="n"/>
      <c r="F591" s="54" t="n"/>
      <c r="G591" s="50" t="n"/>
      <c r="H591" s="37">
        <f>H50+H86+H122+H158+H194+H230+H266+H302+H338+H374+H410+H446+H482+H518+H554+H590</f>
        <v/>
      </c>
      <c r="I591" s="63" t="n"/>
      <c r="J591" s="63" t="n"/>
      <c r="K591" s="63" t="n"/>
      <c r="L591" s="63" t="n"/>
      <c r="M591" s="38">
        <f>M50+M86+M122+M158+M194+M230+M266+M302+M338+M374+M410+M446+M482+M518+M554+M590</f>
        <v/>
      </c>
      <c r="N591" s="63" t="n"/>
      <c r="O591" s="64" t="n"/>
    </row>
    <row r="592" hidden="1" outlineLevel="1" ht="8" customHeight="1"/>
    <row r="593" ht="22" customHeight="1">
      <c r="A593" s="55" t="inlineStr">
        <is>
          <t>DAY 17</t>
        </is>
      </c>
      <c r="B593" s="54" t="n"/>
      <c r="C593" s="54" t="n"/>
      <c r="D593" s="54" t="n"/>
      <c r="E593" s="54" t="n"/>
      <c r="F593" s="54" t="n"/>
      <c r="G593" s="54" t="n"/>
      <c r="H593" s="54" t="n"/>
      <c r="I593" s="54" t="n"/>
      <c r="J593" s="54" t="n"/>
      <c r="K593" s="54" t="n"/>
      <c r="L593" s="54" t="n"/>
      <c r="M593" s="54" t="n"/>
      <c r="N593" s="50" t="n"/>
    </row>
    <row r="594" hidden="1" outlineLevel="1" ht="28" customHeight="1">
      <c r="A594" s="12" t="inlineStr">
        <is>
          <t>Date</t>
        </is>
      </c>
      <c r="B594" s="12" t="inlineStr">
        <is>
          <t>Cartage Company</t>
        </is>
      </c>
      <c r="C594" s="12" t="inlineStr">
        <is>
          <t>Truck Rego</t>
        </is>
      </c>
      <c r="D594" s="12" t="inlineStr">
        <is>
          <t>Truck Type</t>
        </is>
      </c>
      <c r="E594" s="12" t="inlineStr">
        <is>
          <t>Exp / Imp</t>
        </is>
      </c>
      <c r="F594" s="12" t="inlineStr">
        <is>
          <t>Loads</t>
        </is>
      </c>
      <c r="G594" s="12" t="inlineStr">
        <is>
          <t>m³ / Load</t>
        </is>
      </c>
      <c r="H594" s="12" t="inlineStr">
        <is>
          <t>Total m³</t>
        </is>
      </c>
      <c r="I594" s="12" t="inlineStr">
        <is>
          <t>Hours</t>
        </is>
      </c>
      <c r="J594" s="12" t="inlineStr">
        <is>
          <t>Material</t>
        </is>
      </c>
      <c r="K594" s="12" t="inlineStr">
        <is>
          <t>Tip Site</t>
        </is>
      </c>
      <c r="L594" s="12" t="inlineStr">
        <is>
          <t>Docket #</t>
        </is>
      </c>
      <c r="M594" s="12" t="inlineStr">
        <is>
          <t>Rate Paid ($/m³)</t>
        </is>
      </c>
      <c r="N594" s="12" t="inlineStr">
        <is>
          <t>Invoice #</t>
        </is>
      </c>
    </row>
    <row r="595" hidden="1" outlineLevel="1" ht="16" customHeight="1">
      <c r="A595" s="13" t="n"/>
      <c r="B595" s="14" t="n"/>
      <c r="C595" s="15" t="n"/>
      <c r="D595" s="56" t="n"/>
      <c r="E595" s="56" t="n"/>
      <c r="F595" s="17" t="n"/>
      <c r="G595" s="18">
        <f>IF(D595="Tandem",10,IF(D595="TT",22,IF(D595="Quad",25,"")))</f>
        <v/>
      </c>
      <c r="H595" s="19">
        <f>IFERROR(IF(F595*G595=0,0,F595*G595),0)</f>
        <v/>
      </c>
      <c r="I595" s="20" t="n"/>
      <c r="J595" s="57" t="n"/>
      <c r="K595" s="14" t="n"/>
      <c r="L595" s="22" t="n"/>
      <c r="M595" s="58" t="n"/>
      <c r="N595" s="22" t="n"/>
      <c r="O595" s="24">
        <f>IFERROR(IF(OR(M595="",M595=0),0,H595*VALUE(SUBSTITUTE(M595&amp;"","$",""))),0)</f>
        <v/>
      </c>
    </row>
    <row r="596" hidden="1" outlineLevel="1" ht="16" customHeight="1">
      <c r="A596" s="13" t="n"/>
      <c r="B596" s="25" t="n"/>
      <c r="C596" s="26" t="n"/>
      <c r="D596" s="56" t="n"/>
      <c r="E596" s="56" t="n"/>
      <c r="F596" s="27" t="n"/>
      <c r="G596" s="18">
        <f>IF(D596="Tandem",10,IF(D596="TT",22,IF(D596="Quad",25,"")))</f>
        <v/>
      </c>
      <c r="H596" s="28">
        <f>IFERROR(IF(F596*G596=0,0,F596*G596),0)</f>
        <v/>
      </c>
      <c r="I596" s="29" t="n"/>
      <c r="J596" s="57" t="n"/>
      <c r="K596" s="25" t="n"/>
      <c r="L596" s="30" t="n"/>
      <c r="M596" s="58" t="n"/>
      <c r="N596" s="30" t="n"/>
      <c r="O596" s="24">
        <f>IFERROR(IF(OR(M596="",M596=0),0,H596*VALUE(SUBSTITUTE(M596&amp;"","$",""))),0)</f>
        <v/>
      </c>
    </row>
    <row r="597" hidden="1" outlineLevel="1" ht="16" customHeight="1">
      <c r="A597" s="13" t="n"/>
      <c r="B597" s="14" t="n"/>
      <c r="C597" s="15" t="n"/>
      <c r="D597" s="56" t="n"/>
      <c r="E597" s="56" t="n"/>
      <c r="F597" s="17" t="n"/>
      <c r="G597" s="18">
        <f>IF(D597="Tandem",10,IF(D597="TT",22,IF(D597="Quad",25,"")))</f>
        <v/>
      </c>
      <c r="H597" s="19">
        <f>IFERROR(IF(F597*G597=0,0,F597*G597),0)</f>
        <v/>
      </c>
      <c r="I597" s="20" t="n"/>
      <c r="J597" s="57" t="n"/>
      <c r="K597" s="14" t="n"/>
      <c r="L597" s="22" t="n"/>
      <c r="M597" s="58" t="n"/>
      <c r="N597" s="22" t="n"/>
      <c r="O597" s="24">
        <f>IFERROR(IF(OR(M597="",M597=0),0,H597*VALUE(SUBSTITUTE(M597&amp;"","$",""))),0)</f>
        <v/>
      </c>
    </row>
    <row r="598" hidden="1" outlineLevel="1" ht="16" customHeight="1">
      <c r="A598" s="13" t="n"/>
      <c r="B598" s="25" t="n"/>
      <c r="C598" s="26" t="n"/>
      <c r="D598" s="56" t="n"/>
      <c r="E598" s="56" t="n"/>
      <c r="F598" s="27" t="n"/>
      <c r="G598" s="18">
        <f>IF(D598="Tandem",10,IF(D598="TT",22,IF(D598="Quad",25,"")))</f>
        <v/>
      </c>
      <c r="H598" s="28">
        <f>IFERROR(IF(F598*G598=0,0,F598*G598),0)</f>
        <v/>
      </c>
      <c r="I598" s="29" t="n"/>
      <c r="J598" s="57" t="n"/>
      <c r="K598" s="25" t="n"/>
      <c r="L598" s="30" t="n"/>
      <c r="M598" s="58" t="n"/>
      <c r="N598" s="30" t="n"/>
      <c r="O598" s="24">
        <f>IFERROR(IF(OR(M598="",M598=0),0,H598*VALUE(SUBSTITUTE(M598&amp;"","$",""))),0)</f>
        <v/>
      </c>
    </row>
    <row r="599" hidden="1" outlineLevel="1" ht="16" customHeight="1">
      <c r="A599" s="13" t="n"/>
      <c r="B599" s="14" t="n"/>
      <c r="C599" s="15" t="n"/>
      <c r="D599" s="56" t="n"/>
      <c r="E599" s="56" t="n"/>
      <c r="F599" s="17" t="n"/>
      <c r="G599" s="18">
        <f>IF(D599="Tandem",10,IF(D599="TT",22,IF(D599="Quad",25,"")))</f>
        <v/>
      </c>
      <c r="H599" s="19">
        <f>IFERROR(IF(F599*G599=0,0,F599*G599),0)</f>
        <v/>
      </c>
      <c r="I599" s="20" t="n"/>
      <c r="J599" s="57" t="n"/>
      <c r="K599" s="14" t="n"/>
      <c r="L599" s="22" t="n"/>
      <c r="M599" s="58" t="n"/>
      <c r="N599" s="22" t="n"/>
      <c r="O599" s="24">
        <f>IFERROR(IF(OR(M599="",M599=0),0,H599*VALUE(SUBSTITUTE(M599&amp;"","$",""))),0)</f>
        <v/>
      </c>
    </row>
    <row r="600" hidden="1" outlineLevel="1" ht="16" customHeight="1">
      <c r="A600" s="13" t="n"/>
      <c r="B600" s="25" t="n"/>
      <c r="C600" s="26" t="n"/>
      <c r="D600" s="56" t="n"/>
      <c r="E600" s="56" t="n"/>
      <c r="F600" s="27" t="n"/>
      <c r="G600" s="18">
        <f>IF(D600="Tandem",10,IF(D600="TT",22,IF(D600="Quad",25,"")))</f>
        <v/>
      </c>
      <c r="H600" s="28">
        <f>IFERROR(IF(F600*G600=0,0,F600*G600),0)</f>
        <v/>
      </c>
      <c r="I600" s="29" t="n"/>
      <c r="J600" s="57" t="n"/>
      <c r="K600" s="25" t="n"/>
      <c r="L600" s="30" t="n"/>
      <c r="M600" s="58" t="n"/>
      <c r="N600" s="30" t="n"/>
      <c r="O600" s="24">
        <f>IFERROR(IF(OR(M600="",M600=0),0,H600*VALUE(SUBSTITUTE(M600&amp;"","$",""))),0)</f>
        <v/>
      </c>
    </row>
    <row r="601" hidden="1" outlineLevel="1" ht="16" customHeight="1">
      <c r="A601" s="13" t="n"/>
      <c r="B601" s="14" t="n"/>
      <c r="C601" s="15" t="n"/>
      <c r="D601" s="56" t="n"/>
      <c r="E601" s="56" t="n"/>
      <c r="F601" s="17" t="n"/>
      <c r="G601" s="18">
        <f>IF(D601="Tandem",10,IF(D601="TT",22,IF(D601="Quad",25,"")))</f>
        <v/>
      </c>
      <c r="H601" s="19">
        <f>IFERROR(IF(F601*G601=0,0,F601*G601),0)</f>
        <v/>
      </c>
      <c r="I601" s="20" t="n"/>
      <c r="J601" s="57" t="n"/>
      <c r="K601" s="14" t="n"/>
      <c r="L601" s="22" t="n"/>
      <c r="M601" s="58" t="n"/>
      <c r="N601" s="22" t="n"/>
      <c r="O601" s="24">
        <f>IFERROR(IF(OR(M601="",M601=0),0,H601*VALUE(SUBSTITUTE(M601&amp;"","$",""))),0)</f>
        <v/>
      </c>
    </row>
    <row r="602" hidden="1" outlineLevel="1" ht="16" customHeight="1">
      <c r="A602" s="13" t="n"/>
      <c r="B602" s="25" t="n"/>
      <c r="C602" s="26" t="n"/>
      <c r="D602" s="56" t="n"/>
      <c r="E602" s="56" t="n"/>
      <c r="F602" s="27" t="n"/>
      <c r="G602" s="18">
        <f>IF(D602="Tandem",10,IF(D602="TT",22,IF(D602="Quad",25,"")))</f>
        <v/>
      </c>
      <c r="H602" s="28">
        <f>IFERROR(IF(F602*G602=0,0,F602*G602),0)</f>
        <v/>
      </c>
      <c r="I602" s="29" t="n"/>
      <c r="J602" s="57" t="n"/>
      <c r="K602" s="25" t="n"/>
      <c r="L602" s="30" t="n"/>
      <c r="M602" s="58" t="n"/>
      <c r="N602" s="30" t="n"/>
      <c r="O602" s="24">
        <f>IFERROR(IF(OR(M602="",M602=0),0,H602*VALUE(SUBSTITUTE(M602&amp;"","$",""))),0)</f>
        <v/>
      </c>
    </row>
    <row r="603" hidden="1" outlineLevel="1" ht="16" customHeight="1">
      <c r="A603" s="13" t="n"/>
      <c r="B603" s="14" t="n"/>
      <c r="C603" s="15" t="n"/>
      <c r="D603" s="56" t="n"/>
      <c r="E603" s="56" t="n"/>
      <c r="F603" s="17" t="n"/>
      <c r="G603" s="18">
        <f>IF(D603="Tandem",10,IF(D603="TT",22,IF(D603="Quad",25,"")))</f>
        <v/>
      </c>
      <c r="H603" s="19">
        <f>IFERROR(IF(F603*G603=0,0,F603*G603),0)</f>
        <v/>
      </c>
      <c r="I603" s="20" t="n"/>
      <c r="J603" s="57" t="n"/>
      <c r="K603" s="14" t="n"/>
      <c r="L603" s="22" t="n"/>
      <c r="M603" s="58" t="n"/>
      <c r="N603" s="22" t="n"/>
      <c r="O603" s="24">
        <f>IFERROR(IF(OR(M603="",M603=0),0,H603*VALUE(SUBSTITUTE(M603&amp;"","$",""))),0)</f>
        <v/>
      </c>
    </row>
    <row r="604" hidden="1" outlineLevel="1" ht="16" customHeight="1">
      <c r="A604" s="13" t="n"/>
      <c r="B604" s="25" t="n"/>
      <c r="C604" s="26" t="n"/>
      <c r="D604" s="56" t="n"/>
      <c r="E604" s="56" t="n"/>
      <c r="F604" s="27" t="n"/>
      <c r="G604" s="18">
        <f>IF(D604="Tandem",10,IF(D604="TT",22,IF(D604="Quad",25,"")))</f>
        <v/>
      </c>
      <c r="H604" s="28">
        <f>IFERROR(IF(F604*G604=0,0,F604*G604),0)</f>
        <v/>
      </c>
      <c r="I604" s="29" t="n"/>
      <c r="J604" s="57" t="n"/>
      <c r="K604" s="25" t="n"/>
      <c r="L604" s="30" t="n"/>
      <c r="M604" s="58" t="n"/>
      <c r="N604" s="30" t="n"/>
      <c r="O604" s="24">
        <f>IFERROR(IF(OR(M604="",M604=0),0,H604*VALUE(SUBSTITUTE(M604&amp;"","$",""))),0)</f>
        <v/>
      </c>
    </row>
    <row r="605" hidden="1" outlineLevel="1" ht="16" customHeight="1">
      <c r="A605" s="13" t="n"/>
      <c r="B605" s="14" t="n"/>
      <c r="C605" s="15" t="n"/>
      <c r="D605" s="56" t="n"/>
      <c r="E605" s="56" t="n"/>
      <c r="F605" s="17" t="n"/>
      <c r="G605" s="18">
        <f>IF(D605="Tandem",10,IF(D605="TT",22,IF(D605="Quad",25,"")))</f>
        <v/>
      </c>
      <c r="H605" s="19">
        <f>IFERROR(IF(F605*G605=0,0,F605*G605),0)</f>
        <v/>
      </c>
      <c r="I605" s="20" t="n"/>
      <c r="J605" s="57" t="n"/>
      <c r="K605" s="14" t="n"/>
      <c r="L605" s="22" t="n"/>
      <c r="M605" s="58" t="n"/>
      <c r="N605" s="22" t="n"/>
      <c r="O605" s="24">
        <f>IFERROR(IF(OR(M605="",M605=0),0,H605*VALUE(SUBSTITUTE(M605&amp;"","$",""))),0)</f>
        <v/>
      </c>
    </row>
    <row r="606" hidden="1" outlineLevel="1" ht="16" customHeight="1">
      <c r="A606" s="13" t="n"/>
      <c r="B606" s="25" t="n"/>
      <c r="C606" s="26" t="n"/>
      <c r="D606" s="56" t="n"/>
      <c r="E606" s="56" t="n"/>
      <c r="F606" s="27" t="n"/>
      <c r="G606" s="18">
        <f>IF(D606="Tandem",10,IF(D606="TT",22,IF(D606="Quad",25,"")))</f>
        <v/>
      </c>
      <c r="H606" s="28">
        <f>IFERROR(IF(F606*G606=0,0,F606*G606),0)</f>
        <v/>
      </c>
      <c r="I606" s="29" t="n"/>
      <c r="J606" s="57" t="n"/>
      <c r="K606" s="25" t="n"/>
      <c r="L606" s="30" t="n"/>
      <c r="M606" s="58" t="n"/>
      <c r="N606" s="30" t="n"/>
      <c r="O606" s="24">
        <f>IFERROR(IF(OR(M606="",M606=0),0,H606*VALUE(SUBSTITUTE(M606&amp;"","$",""))),0)</f>
        <v/>
      </c>
    </row>
    <row r="607" hidden="1" outlineLevel="1" ht="16" customHeight="1">
      <c r="A607" s="13" t="n"/>
      <c r="B607" s="14" t="n"/>
      <c r="C607" s="15" t="n"/>
      <c r="D607" s="56" t="n"/>
      <c r="E607" s="56" t="n"/>
      <c r="F607" s="17" t="n"/>
      <c r="G607" s="18">
        <f>IF(D607="Tandem",10,IF(D607="TT",22,IF(D607="Quad",25,"")))</f>
        <v/>
      </c>
      <c r="H607" s="19">
        <f>IFERROR(IF(F607*G607=0,0,F607*G607),0)</f>
        <v/>
      </c>
      <c r="I607" s="20" t="n"/>
      <c r="J607" s="57" t="n"/>
      <c r="K607" s="14" t="n"/>
      <c r="L607" s="22" t="n"/>
      <c r="M607" s="58" t="n"/>
      <c r="N607" s="22" t="n"/>
      <c r="O607" s="24">
        <f>IFERROR(IF(OR(M607="",M607=0),0,H607*VALUE(SUBSTITUTE(M607&amp;"","$",""))),0)</f>
        <v/>
      </c>
    </row>
    <row r="608" hidden="1" outlineLevel="1" ht="16" customHeight="1">
      <c r="A608" s="13" t="n"/>
      <c r="B608" s="25" t="n"/>
      <c r="C608" s="26" t="n"/>
      <c r="D608" s="56" t="n"/>
      <c r="E608" s="56" t="n"/>
      <c r="F608" s="27" t="n"/>
      <c r="G608" s="18">
        <f>IF(D608="Tandem",10,IF(D608="TT",22,IF(D608="Quad",25,"")))</f>
        <v/>
      </c>
      <c r="H608" s="28">
        <f>IFERROR(IF(F608*G608=0,0,F608*G608),0)</f>
        <v/>
      </c>
      <c r="I608" s="29" t="n"/>
      <c r="J608" s="57" t="n"/>
      <c r="K608" s="25" t="n"/>
      <c r="L608" s="30" t="n"/>
      <c r="M608" s="58" t="n"/>
      <c r="N608" s="30" t="n"/>
      <c r="O608" s="24">
        <f>IFERROR(IF(OR(M608="",M608=0),0,H608*VALUE(SUBSTITUTE(M608&amp;"","$",""))),0)</f>
        <v/>
      </c>
    </row>
    <row r="609" hidden="1" outlineLevel="1" ht="16" customHeight="1">
      <c r="A609" s="13" t="n"/>
      <c r="B609" s="14" t="n"/>
      <c r="C609" s="15" t="n"/>
      <c r="D609" s="56" t="n"/>
      <c r="E609" s="56" t="n"/>
      <c r="F609" s="17" t="n"/>
      <c r="G609" s="18">
        <f>IF(D609="Tandem",10,IF(D609="TT",22,IF(D609="Quad",25,"")))</f>
        <v/>
      </c>
      <c r="H609" s="19">
        <f>IFERROR(IF(F609*G609=0,0,F609*G609),0)</f>
        <v/>
      </c>
      <c r="I609" s="20" t="n"/>
      <c r="J609" s="57" t="n"/>
      <c r="K609" s="14" t="n"/>
      <c r="L609" s="22" t="n"/>
      <c r="M609" s="58" t="n"/>
      <c r="N609" s="22" t="n"/>
      <c r="O609" s="24">
        <f>IFERROR(IF(OR(M609="",M609=0),0,H609*VALUE(SUBSTITUTE(M609&amp;"","$",""))),0)</f>
        <v/>
      </c>
    </row>
    <row r="610" hidden="1" outlineLevel="1" ht="16" customHeight="1">
      <c r="A610" s="13" t="n"/>
      <c r="B610" s="25" t="n"/>
      <c r="C610" s="26" t="n"/>
      <c r="D610" s="56" t="n"/>
      <c r="E610" s="56" t="n"/>
      <c r="F610" s="27" t="n"/>
      <c r="G610" s="18">
        <f>IF(D610="Tandem",10,IF(D610="TT",22,IF(D610="Quad",25,"")))</f>
        <v/>
      </c>
      <c r="H610" s="28">
        <f>IFERROR(IF(F610*G610=0,0,F610*G610),0)</f>
        <v/>
      </c>
      <c r="I610" s="29" t="n"/>
      <c r="J610" s="57" t="n"/>
      <c r="K610" s="25" t="n"/>
      <c r="L610" s="30" t="n"/>
      <c r="M610" s="58" t="n"/>
      <c r="N610" s="30" t="n"/>
      <c r="O610" s="24">
        <f>IFERROR(IF(OR(M610="",M610=0),0,H610*VALUE(SUBSTITUTE(M610&amp;"","$",""))),0)</f>
        <v/>
      </c>
    </row>
    <row r="611" hidden="1" outlineLevel="1" ht="16" customHeight="1">
      <c r="A611" s="13" t="n"/>
      <c r="B611" s="14" t="n"/>
      <c r="C611" s="15" t="n"/>
      <c r="D611" s="56" t="n"/>
      <c r="E611" s="56" t="n"/>
      <c r="F611" s="17" t="n"/>
      <c r="G611" s="18">
        <f>IF(D611="Tandem",10,IF(D611="TT",22,IF(D611="Quad",25,"")))</f>
        <v/>
      </c>
      <c r="H611" s="19">
        <f>IFERROR(IF(F611*G611=0,0,F611*G611),0)</f>
        <v/>
      </c>
      <c r="I611" s="20" t="n"/>
      <c r="J611" s="57" t="n"/>
      <c r="K611" s="14" t="n"/>
      <c r="L611" s="22" t="n"/>
      <c r="M611" s="58" t="n"/>
      <c r="N611" s="22" t="n"/>
      <c r="O611" s="24">
        <f>IFERROR(IF(OR(M611="",M611=0),0,H611*VALUE(SUBSTITUTE(M611&amp;"","$",""))),0)</f>
        <v/>
      </c>
    </row>
    <row r="612" hidden="1" outlineLevel="1" ht="16" customHeight="1">
      <c r="A612" s="13" t="n"/>
      <c r="B612" s="25" t="n"/>
      <c r="C612" s="26" t="n"/>
      <c r="D612" s="56" t="n"/>
      <c r="E612" s="56" t="n"/>
      <c r="F612" s="27" t="n"/>
      <c r="G612" s="18">
        <f>IF(D612="Tandem",10,IF(D612="TT",22,IF(D612="Quad",25,"")))</f>
        <v/>
      </c>
      <c r="H612" s="28">
        <f>IFERROR(IF(F612*G612=0,0,F612*G612),0)</f>
        <v/>
      </c>
      <c r="I612" s="29" t="n"/>
      <c r="J612" s="57" t="n"/>
      <c r="K612" s="25" t="n"/>
      <c r="L612" s="30" t="n"/>
      <c r="M612" s="58" t="n"/>
      <c r="N612" s="30" t="n"/>
      <c r="O612" s="24">
        <f>IFERROR(IF(OR(M612="",M612=0),0,H612*VALUE(SUBSTITUTE(M612&amp;"","$",""))),0)</f>
        <v/>
      </c>
    </row>
    <row r="613" hidden="1" outlineLevel="1" ht="16" customHeight="1">
      <c r="A613" s="13" t="n"/>
      <c r="B613" s="14" t="n"/>
      <c r="C613" s="15" t="n"/>
      <c r="D613" s="56" t="n"/>
      <c r="E613" s="56" t="n"/>
      <c r="F613" s="17" t="n"/>
      <c r="G613" s="18">
        <f>IF(D613="Tandem",10,IF(D613="TT",22,IF(D613="Quad",25,"")))</f>
        <v/>
      </c>
      <c r="H613" s="19">
        <f>IFERROR(IF(F613*G613=0,0,F613*G613),0)</f>
        <v/>
      </c>
      <c r="I613" s="20" t="n"/>
      <c r="J613" s="57" t="n"/>
      <c r="K613" s="14" t="n"/>
      <c r="L613" s="22" t="n"/>
      <c r="M613" s="58" t="n"/>
      <c r="N613" s="22" t="n"/>
      <c r="O613" s="24">
        <f>IFERROR(IF(OR(M613="",M613=0),0,H613*VALUE(SUBSTITUTE(M613&amp;"","$",""))),0)</f>
        <v/>
      </c>
    </row>
    <row r="614" hidden="1" outlineLevel="1" ht="16" customHeight="1">
      <c r="A614" s="13" t="n"/>
      <c r="B614" s="25" t="n"/>
      <c r="C614" s="26" t="n"/>
      <c r="D614" s="56" t="n"/>
      <c r="E614" s="56" t="n"/>
      <c r="F614" s="27" t="n"/>
      <c r="G614" s="18">
        <f>IF(D614="Tandem",10,IF(D614="TT",22,IF(D614="Quad",25,"")))</f>
        <v/>
      </c>
      <c r="H614" s="28">
        <f>IFERROR(IF(F614*G614=0,0,F614*G614),0)</f>
        <v/>
      </c>
      <c r="I614" s="29" t="n"/>
      <c r="J614" s="57" t="n"/>
      <c r="K614" s="25" t="n"/>
      <c r="L614" s="30" t="n"/>
      <c r="M614" s="58" t="n"/>
      <c r="N614" s="30" t="n"/>
      <c r="O614" s="24">
        <f>IFERROR(IF(OR(M614="",M614=0),0,H614*VALUE(SUBSTITUTE(M614&amp;"","$",""))),0)</f>
        <v/>
      </c>
    </row>
    <row r="615" hidden="1" outlineLevel="1" ht="16" customHeight="1">
      <c r="A615" s="13" t="n"/>
      <c r="B615" s="14" t="n"/>
      <c r="C615" s="15" t="n"/>
      <c r="D615" s="56" t="n"/>
      <c r="E615" s="56" t="n"/>
      <c r="F615" s="17" t="n"/>
      <c r="G615" s="18">
        <f>IF(D615="Tandem",10,IF(D615="TT",22,IF(D615="Quad",25,"")))</f>
        <v/>
      </c>
      <c r="H615" s="19">
        <f>IFERROR(IF(F615*G615=0,0,F615*G615),0)</f>
        <v/>
      </c>
      <c r="I615" s="20" t="n"/>
      <c r="J615" s="57" t="n"/>
      <c r="K615" s="14" t="n"/>
      <c r="L615" s="22" t="n"/>
      <c r="M615" s="58" t="n"/>
      <c r="N615" s="22" t="n"/>
      <c r="O615" s="24">
        <f>IFERROR(IF(OR(M615="",M615=0),0,H615*VALUE(SUBSTITUTE(M615&amp;"","$",""))),0)</f>
        <v/>
      </c>
    </row>
    <row r="616" hidden="1" outlineLevel="1" ht="16" customHeight="1">
      <c r="A616" s="13" t="n"/>
      <c r="B616" s="25" t="n"/>
      <c r="C616" s="26" t="n"/>
      <c r="D616" s="56" t="n"/>
      <c r="E616" s="56" t="n"/>
      <c r="F616" s="27" t="n"/>
      <c r="G616" s="18">
        <f>IF(D616="Tandem",10,IF(D616="TT",22,IF(D616="Quad",25,"")))</f>
        <v/>
      </c>
      <c r="H616" s="28">
        <f>IFERROR(IF(F616*G616=0,0,F616*G616),0)</f>
        <v/>
      </c>
      <c r="I616" s="29" t="n"/>
      <c r="J616" s="57" t="n"/>
      <c r="K616" s="25" t="n"/>
      <c r="L616" s="30" t="n"/>
      <c r="M616" s="58" t="n"/>
      <c r="N616" s="30" t="n"/>
      <c r="O616" s="24">
        <f>IFERROR(IF(OR(M616="",M616=0),0,H616*VALUE(SUBSTITUTE(M616&amp;"","$",""))),0)</f>
        <v/>
      </c>
    </row>
    <row r="617" hidden="1" outlineLevel="1" ht="16" customHeight="1">
      <c r="A617" s="13" t="n"/>
      <c r="B617" s="14" t="n"/>
      <c r="C617" s="15" t="n"/>
      <c r="D617" s="56" t="n"/>
      <c r="E617" s="56" t="n"/>
      <c r="F617" s="17" t="n"/>
      <c r="G617" s="18">
        <f>IF(D617="Tandem",10,IF(D617="TT",22,IF(D617="Quad",25,"")))</f>
        <v/>
      </c>
      <c r="H617" s="19">
        <f>IFERROR(IF(F617*G617=0,0,F617*G617),0)</f>
        <v/>
      </c>
      <c r="I617" s="20" t="n"/>
      <c r="J617" s="57" t="n"/>
      <c r="K617" s="14" t="n"/>
      <c r="L617" s="22" t="n"/>
      <c r="M617" s="58" t="n"/>
      <c r="N617" s="22" t="n"/>
      <c r="O617" s="24">
        <f>IFERROR(IF(OR(M617="",M617=0),0,H617*VALUE(SUBSTITUTE(M617&amp;"","$",""))),0)</f>
        <v/>
      </c>
    </row>
    <row r="618" hidden="1" outlineLevel="1" ht="16" customHeight="1">
      <c r="A618" s="13" t="n"/>
      <c r="B618" s="25" t="n"/>
      <c r="C618" s="26" t="n"/>
      <c r="D618" s="56" t="n"/>
      <c r="E618" s="56" t="n"/>
      <c r="F618" s="27" t="n"/>
      <c r="G618" s="18">
        <f>IF(D618="Tandem",10,IF(D618="TT",22,IF(D618="Quad",25,"")))</f>
        <v/>
      </c>
      <c r="H618" s="28">
        <f>IFERROR(IF(F618*G618=0,0,F618*G618),0)</f>
        <v/>
      </c>
      <c r="I618" s="29" t="n"/>
      <c r="J618" s="57" t="n"/>
      <c r="K618" s="25" t="n"/>
      <c r="L618" s="30" t="n"/>
      <c r="M618" s="58" t="n"/>
      <c r="N618" s="30" t="n"/>
      <c r="O618" s="24">
        <f>IFERROR(IF(OR(M618="",M618=0),0,H618*VALUE(SUBSTITUTE(M618&amp;"","$",""))),0)</f>
        <v/>
      </c>
    </row>
    <row r="619" hidden="1" outlineLevel="1" ht="16" customHeight="1">
      <c r="A619" s="13" t="n"/>
      <c r="B619" s="14" t="n"/>
      <c r="C619" s="15" t="n"/>
      <c r="D619" s="56" t="n"/>
      <c r="E619" s="56" t="n"/>
      <c r="F619" s="17" t="n"/>
      <c r="G619" s="18">
        <f>IF(D619="Tandem",10,IF(D619="TT",22,IF(D619="Quad",25,"")))</f>
        <v/>
      </c>
      <c r="H619" s="19">
        <f>IFERROR(IF(F619*G619=0,0,F619*G619),0)</f>
        <v/>
      </c>
      <c r="I619" s="20" t="n"/>
      <c r="J619" s="57" t="n"/>
      <c r="K619" s="14" t="n"/>
      <c r="L619" s="22" t="n"/>
      <c r="M619" s="58" t="n"/>
      <c r="N619" s="22" t="n"/>
      <c r="O619" s="24">
        <f>IFERROR(IF(OR(M619="",M619=0),0,H619*VALUE(SUBSTITUTE(M619&amp;"","$",""))),0)</f>
        <v/>
      </c>
    </row>
    <row r="620" hidden="1" outlineLevel="1" ht="16" customHeight="1">
      <c r="A620" s="13" t="n"/>
      <c r="B620" s="25" t="n"/>
      <c r="C620" s="26" t="n"/>
      <c r="D620" s="56" t="n"/>
      <c r="E620" s="56" t="n"/>
      <c r="F620" s="27" t="n"/>
      <c r="G620" s="18">
        <f>IF(D620="Tandem",10,IF(D620="TT",22,IF(D620="Quad",25,"")))</f>
        <v/>
      </c>
      <c r="H620" s="28">
        <f>IFERROR(IF(F620*G620=0,0,F620*G620),0)</f>
        <v/>
      </c>
      <c r="I620" s="29" t="n"/>
      <c r="J620" s="57" t="n"/>
      <c r="K620" s="25" t="n"/>
      <c r="L620" s="30" t="n"/>
      <c r="M620" s="58" t="n"/>
      <c r="N620" s="30" t="n"/>
      <c r="O620" s="24">
        <f>IFERROR(IF(OR(M620="",M620=0),0,H620*VALUE(SUBSTITUTE(M620&amp;"","$",""))),0)</f>
        <v/>
      </c>
    </row>
    <row r="621" hidden="1" outlineLevel="1" ht="16" customHeight="1">
      <c r="A621" s="13" t="n"/>
      <c r="B621" s="14" t="n"/>
      <c r="C621" s="15" t="n"/>
      <c r="D621" s="56" t="n"/>
      <c r="E621" s="56" t="n"/>
      <c r="F621" s="17" t="n"/>
      <c r="G621" s="18">
        <f>IF(D621="Tandem",10,IF(D621="TT",22,IF(D621="Quad",25,"")))</f>
        <v/>
      </c>
      <c r="H621" s="19">
        <f>IFERROR(IF(F621*G621=0,0,F621*G621),0)</f>
        <v/>
      </c>
      <c r="I621" s="20" t="n"/>
      <c r="J621" s="57" t="n"/>
      <c r="K621" s="14" t="n"/>
      <c r="L621" s="22" t="n"/>
      <c r="M621" s="58" t="n"/>
      <c r="N621" s="22" t="n"/>
      <c r="O621" s="24">
        <f>IFERROR(IF(OR(M621="",M621=0),0,H621*VALUE(SUBSTITUTE(M621&amp;"","$",""))),0)</f>
        <v/>
      </c>
    </row>
    <row r="622" hidden="1" outlineLevel="1" ht="16" customHeight="1">
      <c r="A622" s="13" t="n"/>
      <c r="B622" s="25" t="n"/>
      <c r="C622" s="26" t="n"/>
      <c r="D622" s="56" t="n"/>
      <c r="E622" s="56" t="n"/>
      <c r="F622" s="27" t="n"/>
      <c r="G622" s="18">
        <f>IF(D622="Tandem",10,IF(D622="TT",22,IF(D622="Quad",25,"")))</f>
        <v/>
      </c>
      <c r="H622" s="28">
        <f>IFERROR(IF(F622*G622=0,0,F622*G622),0)</f>
        <v/>
      </c>
      <c r="I622" s="29" t="n"/>
      <c r="J622" s="57" t="n"/>
      <c r="K622" s="25" t="n"/>
      <c r="L622" s="30" t="n"/>
      <c r="M622" s="58" t="n"/>
      <c r="N622" s="30" t="n"/>
      <c r="O622" s="24">
        <f>IFERROR(IF(OR(M622="",M622=0),0,H622*VALUE(SUBSTITUTE(M622&amp;"","$",""))),0)</f>
        <v/>
      </c>
    </row>
    <row r="623" hidden="1" outlineLevel="1" ht="16" customHeight="1">
      <c r="A623" s="13" t="n"/>
      <c r="B623" s="14" t="n"/>
      <c r="C623" s="15" t="n"/>
      <c r="D623" s="56" t="n"/>
      <c r="E623" s="56" t="n"/>
      <c r="F623" s="17" t="n"/>
      <c r="G623" s="18">
        <f>IF(D623="Tandem",10,IF(D623="TT",22,IF(D623="Quad",25,"")))</f>
        <v/>
      </c>
      <c r="H623" s="19">
        <f>IFERROR(IF(F623*G623=0,0,F623*G623),0)</f>
        <v/>
      </c>
      <c r="I623" s="20" t="n"/>
      <c r="J623" s="57" t="n"/>
      <c r="K623" s="14" t="n"/>
      <c r="L623" s="22" t="n"/>
      <c r="M623" s="58" t="n"/>
      <c r="N623" s="22" t="n"/>
      <c r="O623" s="24">
        <f>IFERROR(IF(OR(M623="",M623=0),0,H623*VALUE(SUBSTITUTE(M623&amp;"","$",""))),0)</f>
        <v/>
      </c>
    </row>
    <row r="624" hidden="1" outlineLevel="1" ht="16" customHeight="1">
      <c r="A624" s="13" t="n"/>
      <c r="B624" s="25" t="n"/>
      <c r="C624" s="26" t="n"/>
      <c r="D624" s="56" t="n"/>
      <c r="E624" s="56" t="n"/>
      <c r="F624" s="27" t="n"/>
      <c r="G624" s="18">
        <f>IF(D624="Tandem",10,IF(D624="TT",22,IF(D624="Quad",25,"")))</f>
        <v/>
      </c>
      <c r="H624" s="28">
        <f>IFERROR(IF(F624*G624=0,0,F624*G624),0)</f>
        <v/>
      </c>
      <c r="I624" s="29" t="n"/>
      <c r="J624" s="57" t="n"/>
      <c r="K624" s="25" t="n"/>
      <c r="L624" s="30" t="n"/>
      <c r="M624" s="58" t="n"/>
      <c r="N624" s="30" t="n"/>
      <c r="O624" s="24">
        <f>IFERROR(IF(OR(M624="",M624=0),0,H624*VALUE(SUBSTITUTE(M624&amp;"","$",""))),0)</f>
        <v/>
      </c>
    </row>
    <row r="625" hidden="1" outlineLevel="1" ht="20" customHeight="1">
      <c r="A625" s="59" t="inlineStr">
        <is>
          <t>Daily Notes:</t>
        </is>
      </c>
      <c r="B625" s="54" t="n"/>
      <c r="C625" s="54" t="n"/>
      <c r="D625" s="54" t="n"/>
      <c r="E625" s="54" t="n"/>
      <c r="F625" s="54" t="n"/>
      <c r="G625" s="54" t="n"/>
      <c r="H625" s="54" t="n"/>
      <c r="I625" s="54" t="n"/>
      <c r="J625" s="54" t="n"/>
      <c r="K625" s="54" t="n"/>
      <c r="L625" s="54" t="n"/>
      <c r="M625" s="54" t="n"/>
      <c r="N625" s="50" t="n"/>
      <c r="O625" s="60" t="n"/>
    </row>
    <row r="626" hidden="1" outlineLevel="1" ht="18" customHeight="1">
      <c r="A626" s="32" t="inlineStr">
        <is>
          <t>DAILY TOTAL</t>
        </is>
      </c>
      <c r="B626" s="54" t="n"/>
      <c r="C626" s="54" t="n"/>
      <c r="D626" s="54" t="n"/>
      <c r="E626" s="54" t="n"/>
      <c r="F626" s="54" t="n"/>
      <c r="G626" s="50" t="n"/>
      <c r="H626" s="34">
        <f>SUM(H595:H624)</f>
        <v/>
      </c>
      <c r="I626" s="35">
        <f>SUM(I595:I624)</f>
        <v/>
      </c>
      <c r="J626" s="61" t="n"/>
      <c r="K626" s="61" t="n"/>
      <c r="L626" s="61" t="n"/>
      <c r="M626" s="36">
        <f>SUM(O595:O624)</f>
        <v/>
      </c>
      <c r="N626" s="61" t="n"/>
      <c r="O626" s="62" t="n"/>
    </row>
    <row r="627" hidden="1" outlineLevel="1" ht="18" customHeight="1">
      <c r="A627" s="2" t="inlineStr">
        <is>
          <t>▶ RUNNING TOTAL</t>
        </is>
      </c>
      <c r="B627" s="54" t="n"/>
      <c r="C627" s="54" t="n"/>
      <c r="D627" s="54" t="n"/>
      <c r="E627" s="54" t="n"/>
      <c r="F627" s="54" t="n"/>
      <c r="G627" s="50" t="n"/>
      <c r="H627" s="37">
        <f>H50+H86+H122+H158+H194+H230+H266+H302+H338+H374+H410+H446+H482+H518+H554+H590+H626</f>
        <v/>
      </c>
      <c r="I627" s="63" t="n"/>
      <c r="J627" s="63" t="n"/>
      <c r="K627" s="63" t="n"/>
      <c r="L627" s="63" t="n"/>
      <c r="M627" s="38">
        <f>M50+M86+M122+M158+M194+M230+M266+M302+M338+M374+M410+M446+M482+M518+M554+M590+M626</f>
        <v/>
      </c>
      <c r="N627" s="63" t="n"/>
      <c r="O627" s="64" t="n"/>
    </row>
    <row r="628" hidden="1" outlineLevel="1" ht="8" customHeight="1"/>
    <row r="629" ht="22" customHeight="1">
      <c r="A629" s="55" t="inlineStr">
        <is>
          <t>DAY 18</t>
        </is>
      </c>
      <c r="B629" s="54" t="n"/>
      <c r="C629" s="54" t="n"/>
      <c r="D629" s="54" t="n"/>
      <c r="E629" s="54" t="n"/>
      <c r="F629" s="54" t="n"/>
      <c r="G629" s="54" t="n"/>
      <c r="H629" s="54" t="n"/>
      <c r="I629" s="54" t="n"/>
      <c r="J629" s="54" t="n"/>
      <c r="K629" s="54" t="n"/>
      <c r="L629" s="54" t="n"/>
      <c r="M629" s="54" t="n"/>
      <c r="N629" s="50" t="n"/>
    </row>
    <row r="630" hidden="1" outlineLevel="1" ht="28" customHeight="1">
      <c r="A630" s="12" t="inlineStr">
        <is>
          <t>Date</t>
        </is>
      </c>
      <c r="B630" s="12" t="inlineStr">
        <is>
          <t>Cartage Company</t>
        </is>
      </c>
      <c r="C630" s="12" t="inlineStr">
        <is>
          <t>Truck Rego</t>
        </is>
      </c>
      <c r="D630" s="12" t="inlineStr">
        <is>
          <t>Truck Type</t>
        </is>
      </c>
      <c r="E630" s="12" t="inlineStr">
        <is>
          <t>Exp / Imp</t>
        </is>
      </c>
      <c r="F630" s="12" t="inlineStr">
        <is>
          <t>Loads</t>
        </is>
      </c>
      <c r="G630" s="12" t="inlineStr">
        <is>
          <t>m³ / Load</t>
        </is>
      </c>
      <c r="H630" s="12" t="inlineStr">
        <is>
          <t>Total m³</t>
        </is>
      </c>
      <c r="I630" s="12" t="inlineStr">
        <is>
          <t>Hours</t>
        </is>
      </c>
      <c r="J630" s="12" t="inlineStr">
        <is>
          <t>Material</t>
        </is>
      </c>
      <c r="K630" s="12" t="inlineStr">
        <is>
          <t>Tip Site</t>
        </is>
      </c>
      <c r="L630" s="12" t="inlineStr">
        <is>
          <t>Docket #</t>
        </is>
      </c>
      <c r="M630" s="12" t="inlineStr">
        <is>
          <t>Rate Paid ($/m³)</t>
        </is>
      </c>
      <c r="N630" s="12" t="inlineStr">
        <is>
          <t>Invoice #</t>
        </is>
      </c>
    </row>
    <row r="631" hidden="1" outlineLevel="1" ht="16" customHeight="1">
      <c r="A631" s="13" t="n"/>
      <c r="B631" s="14" t="n"/>
      <c r="C631" s="15" t="n"/>
      <c r="D631" s="56" t="n"/>
      <c r="E631" s="56" t="n"/>
      <c r="F631" s="17" t="n"/>
      <c r="G631" s="18">
        <f>IF(D631="Tandem",10,IF(D631="TT",22,IF(D631="Quad",25,"")))</f>
        <v/>
      </c>
      <c r="H631" s="19">
        <f>IFERROR(IF(F631*G631=0,0,F631*G631),0)</f>
        <v/>
      </c>
      <c r="I631" s="20" t="n"/>
      <c r="J631" s="57" t="n"/>
      <c r="K631" s="14" t="n"/>
      <c r="L631" s="22" t="n"/>
      <c r="M631" s="58" t="n"/>
      <c r="N631" s="22" t="n"/>
      <c r="O631" s="24">
        <f>IFERROR(IF(OR(M631="",M631=0),0,H631*VALUE(SUBSTITUTE(M631&amp;"","$",""))),0)</f>
        <v/>
      </c>
    </row>
    <row r="632" hidden="1" outlineLevel="1" ht="16" customHeight="1">
      <c r="A632" s="13" t="n"/>
      <c r="B632" s="25" t="n"/>
      <c r="C632" s="26" t="n"/>
      <c r="D632" s="56" t="n"/>
      <c r="E632" s="56" t="n"/>
      <c r="F632" s="27" t="n"/>
      <c r="G632" s="18">
        <f>IF(D632="Tandem",10,IF(D632="TT",22,IF(D632="Quad",25,"")))</f>
        <v/>
      </c>
      <c r="H632" s="28">
        <f>IFERROR(IF(F632*G632=0,0,F632*G632),0)</f>
        <v/>
      </c>
      <c r="I632" s="29" t="n"/>
      <c r="J632" s="57" t="n"/>
      <c r="K632" s="25" t="n"/>
      <c r="L632" s="30" t="n"/>
      <c r="M632" s="58" t="n"/>
      <c r="N632" s="30" t="n"/>
      <c r="O632" s="24">
        <f>IFERROR(IF(OR(M632="",M632=0),0,H632*VALUE(SUBSTITUTE(M632&amp;"","$",""))),0)</f>
        <v/>
      </c>
    </row>
    <row r="633" hidden="1" outlineLevel="1" ht="16" customHeight="1">
      <c r="A633" s="13" t="n"/>
      <c r="B633" s="14" t="n"/>
      <c r="C633" s="15" t="n"/>
      <c r="D633" s="56" t="n"/>
      <c r="E633" s="56" t="n"/>
      <c r="F633" s="17" t="n"/>
      <c r="G633" s="18">
        <f>IF(D633="Tandem",10,IF(D633="TT",22,IF(D633="Quad",25,"")))</f>
        <v/>
      </c>
      <c r="H633" s="19">
        <f>IFERROR(IF(F633*G633=0,0,F633*G633),0)</f>
        <v/>
      </c>
      <c r="I633" s="20" t="n"/>
      <c r="J633" s="57" t="n"/>
      <c r="K633" s="14" t="n"/>
      <c r="L633" s="22" t="n"/>
      <c r="M633" s="58" t="n"/>
      <c r="N633" s="22" t="n"/>
      <c r="O633" s="24">
        <f>IFERROR(IF(OR(M633="",M633=0),0,H633*VALUE(SUBSTITUTE(M633&amp;"","$",""))),0)</f>
        <v/>
      </c>
    </row>
    <row r="634" hidden="1" outlineLevel="1" ht="16" customHeight="1">
      <c r="A634" s="13" t="n"/>
      <c r="B634" s="25" t="n"/>
      <c r="C634" s="26" t="n"/>
      <c r="D634" s="56" t="n"/>
      <c r="E634" s="56" t="n"/>
      <c r="F634" s="27" t="n"/>
      <c r="G634" s="18">
        <f>IF(D634="Tandem",10,IF(D634="TT",22,IF(D634="Quad",25,"")))</f>
        <v/>
      </c>
      <c r="H634" s="28">
        <f>IFERROR(IF(F634*G634=0,0,F634*G634),0)</f>
        <v/>
      </c>
      <c r="I634" s="29" t="n"/>
      <c r="J634" s="57" t="n"/>
      <c r="K634" s="25" t="n"/>
      <c r="L634" s="30" t="n"/>
      <c r="M634" s="58" t="n"/>
      <c r="N634" s="30" t="n"/>
      <c r="O634" s="24">
        <f>IFERROR(IF(OR(M634="",M634=0),0,H634*VALUE(SUBSTITUTE(M634&amp;"","$",""))),0)</f>
        <v/>
      </c>
    </row>
    <row r="635" hidden="1" outlineLevel="1" ht="16" customHeight="1">
      <c r="A635" s="13" t="n"/>
      <c r="B635" s="14" t="n"/>
      <c r="C635" s="15" t="n"/>
      <c r="D635" s="56" t="n"/>
      <c r="E635" s="56" t="n"/>
      <c r="F635" s="17" t="n"/>
      <c r="G635" s="18">
        <f>IF(D635="Tandem",10,IF(D635="TT",22,IF(D635="Quad",25,"")))</f>
        <v/>
      </c>
      <c r="H635" s="19">
        <f>IFERROR(IF(F635*G635=0,0,F635*G635),0)</f>
        <v/>
      </c>
      <c r="I635" s="20" t="n"/>
      <c r="J635" s="57" t="n"/>
      <c r="K635" s="14" t="n"/>
      <c r="L635" s="22" t="n"/>
      <c r="M635" s="58" t="n"/>
      <c r="N635" s="22" t="n"/>
      <c r="O635" s="24">
        <f>IFERROR(IF(OR(M635="",M635=0),0,H635*VALUE(SUBSTITUTE(M635&amp;"","$",""))),0)</f>
        <v/>
      </c>
    </row>
    <row r="636" hidden="1" outlineLevel="1" ht="16" customHeight="1">
      <c r="A636" s="13" t="n"/>
      <c r="B636" s="25" t="n"/>
      <c r="C636" s="26" t="n"/>
      <c r="D636" s="56" t="n"/>
      <c r="E636" s="56" t="n"/>
      <c r="F636" s="27" t="n"/>
      <c r="G636" s="18">
        <f>IF(D636="Tandem",10,IF(D636="TT",22,IF(D636="Quad",25,"")))</f>
        <v/>
      </c>
      <c r="H636" s="28">
        <f>IFERROR(IF(F636*G636=0,0,F636*G636),0)</f>
        <v/>
      </c>
      <c r="I636" s="29" t="n"/>
      <c r="J636" s="57" t="n"/>
      <c r="K636" s="25" t="n"/>
      <c r="L636" s="30" t="n"/>
      <c r="M636" s="58" t="n"/>
      <c r="N636" s="30" t="n"/>
      <c r="O636" s="24">
        <f>IFERROR(IF(OR(M636="",M636=0),0,H636*VALUE(SUBSTITUTE(M636&amp;"","$",""))),0)</f>
        <v/>
      </c>
    </row>
    <row r="637" hidden="1" outlineLevel="1" ht="16" customHeight="1">
      <c r="A637" s="13" t="n"/>
      <c r="B637" s="14" t="n"/>
      <c r="C637" s="15" t="n"/>
      <c r="D637" s="56" t="n"/>
      <c r="E637" s="56" t="n"/>
      <c r="F637" s="17" t="n"/>
      <c r="G637" s="18">
        <f>IF(D637="Tandem",10,IF(D637="TT",22,IF(D637="Quad",25,"")))</f>
        <v/>
      </c>
      <c r="H637" s="19">
        <f>IFERROR(IF(F637*G637=0,0,F637*G637),0)</f>
        <v/>
      </c>
      <c r="I637" s="20" t="n"/>
      <c r="J637" s="57" t="n"/>
      <c r="K637" s="14" t="n"/>
      <c r="L637" s="22" t="n"/>
      <c r="M637" s="58" t="n"/>
      <c r="N637" s="22" t="n"/>
      <c r="O637" s="24">
        <f>IFERROR(IF(OR(M637="",M637=0),0,H637*VALUE(SUBSTITUTE(M637&amp;"","$",""))),0)</f>
        <v/>
      </c>
    </row>
    <row r="638" hidden="1" outlineLevel="1" ht="16" customHeight="1">
      <c r="A638" s="13" t="n"/>
      <c r="B638" s="25" t="n"/>
      <c r="C638" s="26" t="n"/>
      <c r="D638" s="56" t="n"/>
      <c r="E638" s="56" t="n"/>
      <c r="F638" s="27" t="n"/>
      <c r="G638" s="18">
        <f>IF(D638="Tandem",10,IF(D638="TT",22,IF(D638="Quad",25,"")))</f>
        <v/>
      </c>
      <c r="H638" s="28">
        <f>IFERROR(IF(F638*G638=0,0,F638*G638),0)</f>
        <v/>
      </c>
      <c r="I638" s="29" t="n"/>
      <c r="J638" s="57" t="n"/>
      <c r="K638" s="25" t="n"/>
      <c r="L638" s="30" t="n"/>
      <c r="M638" s="58" t="n"/>
      <c r="N638" s="30" t="n"/>
      <c r="O638" s="24">
        <f>IFERROR(IF(OR(M638="",M638=0),0,H638*VALUE(SUBSTITUTE(M638&amp;"","$",""))),0)</f>
        <v/>
      </c>
    </row>
    <row r="639" hidden="1" outlineLevel="1" ht="16" customHeight="1">
      <c r="A639" s="13" t="n"/>
      <c r="B639" s="14" t="n"/>
      <c r="C639" s="15" t="n"/>
      <c r="D639" s="56" t="n"/>
      <c r="E639" s="56" t="n"/>
      <c r="F639" s="17" t="n"/>
      <c r="G639" s="18">
        <f>IF(D639="Tandem",10,IF(D639="TT",22,IF(D639="Quad",25,"")))</f>
        <v/>
      </c>
      <c r="H639" s="19">
        <f>IFERROR(IF(F639*G639=0,0,F639*G639),0)</f>
        <v/>
      </c>
      <c r="I639" s="20" t="n"/>
      <c r="J639" s="57" t="n"/>
      <c r="K639" s="14" t="n"/>
      <c r="L639" s="22" t="n"/>
      <c r="M639" s="58" t="n"/>
      <c r="N639" s="22" t="n"/>
      <c r="O639" s="24">
        <f>IFERROR(IF(OR(M639="",M639=0),0,H639*VALUE(SUBSTITUTE(M639&amp;"","$",""))),0)</f>
        <v/>
      </c>
    </row>
    <row r="640" hidden="1" outlineLevel="1" ht="16" customHeight="1">
      <c r="A640" s="13" t="n"/>
      <c r="B640" s="25" t="n"/>
      <c r="C640" s="26" t="n"/>
      <c r="D640" s="56" t="n"/>
      <c r="E640" s="56" t="n"/>
      <c r="F640" s="27" t="n"/>
      <c r="G640" s="18">
        <f>IF(D640="Tandem",10,IF(D640="TT",22,IF(D640="Quad",25,"")))</f>
        <v/>
      </c>
      <c r="H640" s="28">
        <f>IFERROR(IF(F640*G640=0,0,F640*G640),0)</f>
        <v/>
      </c>
      <c r="I640" s="29" t="n"/>
      <c r="J640" s="57" t="n"/>
      <c r="K640" s="25" t="n"/>
      <c r="L640" s="30" t="n"/>
      <c r="M640" s="58" t="n"/>
      <c r="N640" s="30" t="n"/>
      <c r="O640" s="24">
        <f>IFERROR(IF(OR(M640="",M640=0),0,H640*VALUE(SUBSTITUTE(M640&amp;"","$",""))),0)</f>
        <v/>
      </c>
    </row>
    <row r="641" hidden="1" outlineLevel="1" ht="16" customHeight="1">
      <c r="A641" s="13" t="n"/>
      <c r="B641" s="14" t="n"/>
      <c r="C641" s="15" t="n"/>
      <c r="D641" s="56" t="n"/>
      <c r="E641" s="56" t="n"/>
      <c r="F641" s="17" t="n"/>
      <c r="G641" s="18">
        <f>IF(D641="Tandem",10,IF(D641="TT",22,IF(D641="Quad",25,"")))</f>
        <v/>
      </c>
      <c r="H641" s="19">
        <f>IFERROR(IF(F641*G641=0,0,F641*G641),0)</f>
        <v/>
      </c>
      <c r="I641" s="20" t="n"/>
      <c r="J641" s="57" t="n"/>
      <c r="K641" s="14" t="n"/>
      <c r="L641" s="22" t="n"/>
      <c r="M641" s="58" t="n"/>
      <c r="N641" s="22" t="n"/>
      <c r="O641" s="24">
        <f>IFERROR(IF(OR(M641="",M641=0),0,H641*VALUE(SUBSTITUTE(M641&amp;"","$",""))),0)</f>
        <v/>
      </c>
    </row>
    <row r="642" hidden="1" outlineLevel="1" ht="16" customHeight="1">
      <c r="A642" s="13" t="n"/>
      <c r="B642" s="25" t="n"/>
      <c r="C642" s="26" t="n"/>
      <c r="D642" s="56" t="n"/>
      <c r="E642" s="56" t="n"/>
      <c r="F642" s="27" t="n"/>
      <c r="G642" s="18">
        <f>IF(D642="Tandem",10,IF(D642="TT",22,IF(D642="Quad",25,"")))</f>
        <v/>
      </c>
      <c r="H642" s="28">
        <f>IFERROR(IF(F642*G642=0,0,F642*G642),0)</f>
        <v/>
      </c>
      <c r="I642" s="29" t="n"/>
      <c r="J642" s="57" t="n"/>
      <c r="K642" s="25" t="n"/>
      <c r="L642" s="30" t="n"/>
      <c r="M642" s="58" t="n"/>
      <c r="N642" s="30" t="n"/>
      <c r="O642" s="24">
        <f>IFERROR(IF(OR(M642="",M642=0),0,H642*VALUE(SUBSTITUTE(M642&amp;"","$",""))),0)</f>
        <v/>
      </c>
    </row>
    <row r="643" hidden="1" outlineLevel="1" ht="16" customHeight="1">
      <c r="A643" s="13" t="n"/>
      <c r="B643" s="14" t="n"/>
      <c r="C643" s="15" t="n"/>
      <c r="D643" s="56" t="n"/>
      <c r="E643" s="56" t="n"/>
      <c r="F643" s="17" t="n"/>
      <c r="G643" s="18">
        <f>IF(D643="Tandem",10,IF(D643="TT",22,IF(D643="Quad",25,"")))</f>
        <v/>
      </c>
      <c r="H643" s="19">
        <f>IFERROR(IF(F643*G643=0,0,F643*G643),0)</f>
        <v/>
      </c>
      <c r="I643" s="20" t="n"/>
      <c r="J643" s="57" t="n"/>
      <c r="K643" s="14" t="n"/>
      <c r="L643" s="22" t="n"/>
      <c r="M643" s="58" t="n"/>
      <c r="N643" s="22" t="n"/>
      <c r="O643" s="24">
        <f>IFERROR(IF(OR(M643="",M643=0),0,H643*VALUE(SUBSTITUTE(M643&amp;"","$",""))),0)</f>
        <v/>
      </c>
    </row>
    <row r="644" hidden="1" outlineLevel="1" ht="16" customHeight="1">
      <c r="A644" s="13" t="n"/>
      <c r="B644" s="25" t="n"/>
      <c r="C644" s="26" t="n"/>
      <c r="D644" s="56" t="n"/>
      <c r="E644" s="56" t="n"/>
      <c r="F644" s="27" t="n"/>
      <c r="G644" s="18">
        <f>IF(D644="Tandem",10,IF(D644="TT",22,IF(D644="Quad",25,"")))</f>
        <v/>
      </c>
      <c r="H644" s="28">
        <f>IFERROR(IF(F644*G644=0,0,F644*G644),0)</f>
        <v/>
      </c>
      <c r="I644" s="29" t="n"/>
      <c r="J644" s="57" t="n"/>
      <c r="K644" s="25" t="n"/>
      <c r="L644" s="30" t="n"/>
      <c r="M644" s="58" t="n"/>
      <c r="N644" s="30" t="n"/>
      <c r="O644" s="24">
        <f>IFERROR(IF(OR(M644="",M644=0),0,H644*VALUE(SUBSTITUTE(M644&amp;"","$",""))),0)</f>
        <v/>
      </c>
    </row>
    <row r="645" hidden="1" outlineLevel="1" ht="16" customHeight="1">
      <c r="A645" s="13" t="n"/>
      <c r="B645" s="14" t="n"/>
      <c r="C645" s="15" t="n"/>
      <c r="D645" s="56" t="n"/>
      <c r="E645" s="56" t="n"/>
      <c r="F645" s="17" t="n"/>
      <c r="G645" s="18">
        <f>IF(D645="Tandem",10,IF(D645="TT",22,IF(D645="Quad",25,"")))</f>
        <v/>
      </c>
      <c r="H645" s="19">
        <f>IFERROR(IF(F645*G645=0,0,F645*G645),0)</f>
        <v/>
      </c>
      <c r="I645" s="20" t="n"/>
      <c r="J645" s="57" t="n"/>
      <c r="K645" s="14" t="n"/>
      <c r="L645" s="22" t="n"/>
      <c r="M645" s="58" t="n"/>
      <c r="N645" s="22" t="n"/>
      <c r="O645" s="24">
        <f>IFERROR(IF(OR(M645="",M645=0),0,H645*VALUE(SUBSTITUTE(M645&amp;"","$",""))),0)</f>
        <v/>
      </c>
    </row>
    <row r="646" hidden="1" outlineLevel="1" ht="16" customHeight="1">
      <c r="A646" s="13" t="n"/>
      <c r="B646" s="25" t="n"/>
      <c r="C646" s="26" t="n"/>
      <c r="D646" s="56" t="n"/>
      <c r="E646" s="56" t="n"/>
      <c r="F646" s="27" t="n"/>
      <c r="G646" s="18">
        <f>IF(D646="Tandem",10,IF(D646="TT",22,IF(D646="Quad",25,"")))</f>
        <v/>
      </c>
      <c r="H646" s="28">
        <f>IFERROR(IF(F646*G646=0,0,F646*G646),0)</f>
        <v/>
      </c>
      <c r="I646" s="29" t="n"/>
      <c r="J646" s="57" t="n"/>
      <c r="K646" s="25" t="n"/>
      <c r="L646" s="30" t="n"/>
      <c r="M646" s="58" t="n"/>
      <c r="N646" s="30" t="n"/>
      <c r="O646" s="24">
        <f>IFERROR(IF(OR(M646="",M646=0),0,H646*VALUE(SUBSTITUTE(M646&amp;"","$",""))),0)</f>
        <v/>
      </c>
    </row>
    <row r="647" hidden="1" outlineLevel="1" ht="16" customHeight="1">
      <c r="A647" s="13" t="n"/>
      <c r="B647" s="14" t="n"/>
      <c r="C647" s="15" t="n"/>
      <c r="D647" s="56" t="n"/>
      <c r="E647" s="56" t="n"/>
      <c r="F647" s="17" t="n"/>
      <c r="G647" s="18">
        <f>IF(D647="Tandem",10,IF(D647="TT",22,IF(D647="Quad",25,"")))</f>
        <v/>
      </c>
      <c r="H647" s="19">
        <f>IFERROR(IF(F647*G647=0,0,F647*G647),0)</f>
        <v/>
      </c>
      <c r="I647" s="20" t="n"/>
      <c r="J647" s="57" t="n"/>
      <c r="K647" s="14" t="n"/>
      <c r="L647" s="22" t="n"/>
      <c r="M647" s="58" t="n"/>
      <c r="N647" s="22" t="n"/>
      <c r="O647" s="24">
        <f>IFERROR(IF(OR(M647="",M647=0),0,H647*VALUE(SUBSTITUTE(M647&amp;"","$",""))),0)</f>
        <v/>
      </c>
    </row>
    <row r="648" hidden="1" outlineLevel="1" ht="16" customHeight="1">
      <c r="A648" s="13" t="n"/>
      <c r="B648" s="25" t="n"/>
      <c r="C648" s="26" t="n"/>
      <c r="D648" s="56" t="n"/>
      <c r="E648" s="56" t="n"/>
      <c r="F648" s="27" t="n"/>
      <c r="G648" s="18">
        <f>IF(D648="Tandem",10,IF(D648="TT",22,IF(D648="Quad",25,"")))</f>
        <v/>
      </c>
      <c r="H648" s="28">
        <f>IFERROR(IF(F648*G648=0,0,F648*G648),0)</f>
        <v/>
      </c>
      <c r="I648" s="29" t="n"/>
      <c r="J648" s="57" t="n"/>
      <c r="K648" s="25" t="n"/>
      <c r="L648" s="30" t="n"/>
      <c r="M648" s="58" t="n"/>
      <c r="N648" s="30" t="n"/>
      <c r="O648" s="24">
        <f>IFERROR(IF(OR(M648="",M648=0),0,H648*VALUE(SUBSTITUTE(M648&amp;"","$",""))),0)</f>
        <v/>
      </c>
    </row>
    <row r="649" hidden="1" outlineLevel="1" ht="16" customHeight="1">
      <c r="A649" s="13" t="n"/>
      <c r="B649" s="14" t="n"/>
      <c r="C649" s="15" t="n"/>
      <c r="D649" s="56" t="n"/>
      <c r="E649" s="56" t="n"/>
      <c r="F649" s="17" t="n"/>
      <c r="G649" s="18">
        <f>IF(D649="Tandem",10,IF(D649="TT",22,IF(D649="Quad",25,"")))</f>
        <v/>
      </c>
      <c r="H649" s="19">
        <f>IFERROR(IF(F649*G649=0,0,F649*G649),0)</f>
        <v/>
      </c>
      <c r="I649" s="20" t="n"/>
      <c r="J649" s="57" t="n"/>
      <c r="K649" s="14" t="n"/>
      <c r="L649" s="22" t="n"/>
      <c r="M649" s="58" t="n"/>
      <c r="N649" s="22" t="n"/>
      <c r="O649" s="24">
        <f>IFERROR(IF(OR(M649="",M649=0),0,H649*VALUE(SUBSTITUTE(M649&amp;"","$",""))),0)</f>
        <v/>
      </c>
    </row>
    <row r="650" hidden="1" outlineLevel="1" ht="16" customHeight="1">
      <c r="A650" s="13" t="n"/>
      <c r="B650" s="25" t="n"/>
      <c r="C650" s="26" t="n"/>
      <c r="D650" s="56" t="n"/>
      <c r="E650" s="56" t="n"/>
      <c r="F650" s="27" t="n"/>
      <c r="G650" s="18">
        <f>IF(D650="Tandem",10,IF(D650="TT",22,IF(D650="Quad",25,"")))</f>
        <v/>
      </c>
      <c r="H650" s="28">
        <f>IFERROR(IF(F650*G650=0,0,F650*G650),0)</f>
        <v/>
      </c>
      <c r="I650" s="29" t="n"/>
      <c r="J650" s="57" t="n"/>
      <c r="K650" s="25" t="n"/>
      <c r="L650" s="30" t="n"/>
      <c r="M650" s="58" t="n"/>
      <c r="N650" s="30" t="n"/>
      <c r="O650" s="24">
        <f>IFERROR(IF(OR(M650="",M650=0),0,H650*VALUE(SUBSTITUTE(M650&amp;"","$",""))),0)</f>
        <v/>
      </c>
    </row>
    <row r="651" hidden="1" outlineLevel="1" ht="16" customHeight="1">
      <c r="A651" s="13" t="n"/>
      <c r="B651" s="14" t="n"/>
      <c r="C651" s="15" t="n"/>
      <c r="D651" s="56" t="n"/>
      <c r="E651" s="56" t="n"/>
      <c r="F651" s="17" t="n"/>
      <c r="G651" s="18">
        <f>IF(D651="Tandem",10,IF(D651="TT",22,IF(D651="Quad",25,"")))</f>
        <v/>
      </c>
      <c r="H651" s="19">
        <f>IFERROR(IF(F651*G651=0,0,F651*G651),0)</f>
        <v/>
      </c>
      <c r="I651" s="20" t="n"/>
      <c r="J651" s="57" t="n"/>
      <c r="K651" s="14" t="n"/>
      <c r="L651" s="22" t="n"/>
      <c r="M651" s="58" t="n"/>
      <c r="N651" s="22" t="n"/>
      <c r="O651" s="24">
        <f>IFERROR(IF(OR(M651="",M651=0),0,H651*VALUE(SUBSTITUTE(M651&amp;"","$",""))),0)</f>
        <v/>
      </c>
    </row>
    <row r="652" hidden="1" outlineLevel="1" ht="16" customHeight="1">
      <c r="A652" s="13" t="n"/>
      <c r="B652" s="25" t="n"/>
      <c r="C652" s="26" t="n"/>
      <c r="D652" s="56" t="n"/>
      <c r="E652" s="56" t="n"/>
      <c r="F652" s="27" t="n"/>
      <c r="G652" s="18">
        <f>IF(D652="Tandem",10,IF(D652="TT",22,IF(D652="Quad",25,"")))</f>
        <v/>
      </c>
      <c r="H652" s="28">
        <f>IFERROR(IF(F652*G652=0,0,F652*G652),0)</f>
        <v/>
      </c>
      <c r="I652" s="29" t="n"/>
      <c r="J652" s="57" t="n"/>
      <c r="K652" s="25" t="n"/>
      <c r="L652" s="30" t="n"/>
      <c r="M652" s="58" t="n"/>
      <c r="N652" s="30" t="n"/>
      <c r="O652" s="24">
        <f>IFERROR(IF(OR(M652="",M652=0),0,H652*VALUE(SUBSTITUTE(M652&amp;"","$",""))),0)</f>
        <v/>
      </c>
    </row>
    <row r="653" hidden="1" outlineLevel="1" ht="16" customHeight="1">
      <c r="A653" s="13" t="n"/>
      <c r="B653" s="14" t="n"/>
      <c r="C653" s="15" t="n"/>
      <c r="D653" s="56" t="n"/>
      <c r="E653" s="56" t="n"/>
      <c r="F653" s="17" t="n"/>
      <c r="G653" s="18">
        <f>IF(D653="Tandem",10,IF(D653="TT",22,IF(D653="Quad",25,"")))</f>
        <v/>
      </c>
      <c r="H653" s="19">
        <f>IFERROR(IF(F653*G653=0,0,F653*G653),0)</f>
        <v/>
      </c>
      <c r="I653" s="20" t="n"/>
      <c r="J653" s="57" t="n"/>
      <c r="K653" s="14" t="n"/>
      <c r="L653" s="22" t="n"/>
      <c r="M653" s="58" t="n"/>
      <c r="N653" s="22" t="n"/>
      <c r="O653" s="24">
        <f>IFERROR(IF(OR(M653="",M653=0),0,H653*VALUE(SUBSTITUTE(M653&amp;"","$",""))),0)</f>
        <v/>
      </c>
    </row>
    <row r="654" hidden="1" outlineLevel="1" ht="16" customHeight="1">
      <c r="A654" s="13" t="n"/>
      <c r="B654" s="25" t="n"/>
      <c r="C654" s="26" t="n"/>
      <c r="D654" s="56" t="n"/>
      <c r="E654" s="56" t="n"/>
      <c r="F654" s="27" t="n"/>
      <c r="G654" s="18">
        <f>IF(D654="Tandem",10,IF(D654="TT",22,IF(D654="Quad",25,"")))</f>
        <v/>
      </c>
      <c r="H654" s="28">
        <f>IFERROR(IF(F654*G654=0,0,F654*G654),0)</f>
        <v/>
      </c>
      <c r="I654" s="29" t="n"/>
      <c r="J654" s="57" t="n"/>
      <c r="K654" s="25" t="n"/>
      <c r="L654" s="30" t="n"/>
      <c r="M654" s="58" t="n"/>
      <c r="N654" s="30" t="n"/>
      <c r="O654" s="24">
        <f>IFERROR(IF(OR(M654="",M654=0),0,H654*VALUE(SUBSTITUTE(M654&amp;"","$",""))),0)</f>
        <v/>
      </c>
    </row>
    <row r="655" hidden="1" outlineLevel="1" ht="16" customHeight="1">
      <c r="A655" s="13" t="n"/>
      <c r="B655" s="14" t="n"/>
      <c r="C655" s="15" t="n"/>
      <c r="D655" s="56" t="n"/>
      <c r="E655" s="56" t="n"/>
      <c r="F655" s="17" t="n"/>
      <c r="G655" s="18">
        <f>IF(D655="Tandem",10,IF(D655="TT",22,IF(D655="Quad",25,"")))</f>
        <v/>
      </c>
      <c r="H655" s="19">
        <f>IFERROR(IF(F655*G655=0,0,F655*G655),0)</f>
        <v/>
      </c>
      <c r="I655" s="20" t="n"/>
      <c r="J655" s="57" t="n"/>
      <c r="K655" s="14" t="n"/>
      <c r="L655" s="22" t="n"/>
      <c r="M655" s="58" t="n"/>
      <c r="N655" s="22" t="n"/>
      <c r="O655" s="24">
        <f>IFERROR(IF(OR(M655="",M655=0),0,H655*VALUE(SUBSTITUTE(M655&amp;"","$",""))),0)</f>
        <v/>
      </c>
    </row>
    <row r="656" hidden="1" outlineLevel="1" ht="16" customHeight="1">
      <c r="A656" s="13" t="n"/>
      <c r="B656" s="25" t="n"/>
      <c r="C656" s="26" t="n"/>
      <c r="D656" s="56" t="n"/>
      <c r="E656" s="56" t="n"/>
      <c r="F656" s="27" t="n"/>
      <c r="G656" s="18">
        <f>IF(D656="Tandem",10,IF(D656="TT",22,IF(D656="Quad",25,"")))</f>
        <v/>
      </c>
      <c r="H656" s="28">
        <f>IFERROR(IF(F656*G656=0,0,F656*G656),0)</f>
        <v/>
      </c>
      <c r="I656" s="29" t="n"/>
      <c r="J656" s="57" t="n"/>
      <c r="K656" s="25" t="n"/>
      <c r="L656" s="30" t="n"/>
      <c r="M656" s="58" t="n"/>
      <c r="N656" s="30" t="n"/>
      <c r="O656" s="24">
        <f>IFERROR(IF(OR(M656="",M656=0),0,H656*VALUE(SUBSTITUTE(M656&amp;"","$",""))),0)</f>
        <v/>
      </c>
    </row>
    <row r="657" hidden="1" outlineLevel="1" ht="16" customHeight="1">
      <c r="A657" s="13" t="n"/>
      <c r="B657" s="14" t="n"/>
      <c r="C657" s="15" t="n"/>
      <c r="D657" s="56" t="n"/>
      <c r="E657" s="56" t="n"/>
      <c r="F657" s="17" t="n"/>
      <c r="G657" s="18">
        <f>IF(D657="Tandem",10,IF(D657="TT",22,IF(D657="Quad",25,"")))</f>
        <v/>
      </c>
      <c r="H657" s="19">
        <f>IFERROR(IF(F657*G657=0,0,F657*G657),0)</f>
        <v/>
      </c>
      <c r="I657" s="20" t="n"/>
      <c r="J657" s="57" t="n"/>
      <c r="K657" s="14" t="n"/>
      <c r="L657" s="22" t="n"/>
      <c r="M657" s="58" t="n"/>
      <c r="N657" s="22" t="n"/>
      <c r="O657" s="24">
        <f>IFERROR(IF(OR(M657="",M657=0),0,H657*VALUE(SUBSTITUTE(M657&amp;"","$",""))),0)</f>
        <v/>
      </c>
    </row>
    <row r="658" hidden="1" outlineLevel="1" ht="16" customHeight="1">
      <c r="A658" s="13" t="n"/>
      <c r="B658" s="25" t="n"/>
      <c r="C658" s="26" t="n"/>
      <c r="D658" s="56" t="n"/>
      <c r="E658" s="56" t="n"/>
      <c r="F658" s="27" t="n"/>
      <c r="G658" s="18">
        <f>IF(D658="Tandem",10,IF(D658="TT",22,IF(D658="Quad",25,"")))</f>
        <v/>
      </c>
      <c r="H658" s="28">
        <f>IFERROR(IF(F658*G658=0,0,F658*G658),0)</f>
        <v/>
      </c>
      <c r="I658" s="29" t="n"/>
      <c r="J658" s="57" t="n"/>
      <c r="K658" s="25" t="n"/>
      <c r="L658" s="30" t="n"/>
      <c r="M658" s="58" t="n"/>
      <c r="N658" s="30" t="n"/>
      <c r="O658" s="24">
        <f>IFERROR(IF(OR(M658="",M658=0),0,H658*VALUE(SUBSTITUTE(M658&amp;"","$",""))),0)</f>
        <v/>
      </c>
    </row>
    <row r="659" hidden="1" outlineLevel="1" ht="16" customHeight="1">
      <c r="A659" s="13" t="n"/>
      <c r="B659" s="14" t="n"/>
      <c r="C659" s="15" t="n"/>
      <c r="D659" s="56" t="n"/>
      <c r="E659" s="56" t="n"/>
      <c r="F659" s="17" t="n"/>
      <c r="G659" s="18">
        <f>IF(D659="Tandem",10,IF(D659="TT",22,IF(D659="Quad",25,"")))</f>
        <v/>
      </c>
      <c r="H659" s="19">
        <f>IFERROR(IF(F659*G659=0,0,F659*G659),0)</f>
        <v/>
      </c>
      <c r="I659" s="20" t="n"/>
      <c r="J659" s="57" t="n"/>
      <c r="K659" s="14" t="n"/>
      <c r="L659" s="22" t="n"/>
      <c r="M659" s="58" t="n"/>
      <c r="N659" s="22" t="n"/>
      <c r="O659" s="24">
        <f>IFERROR(IF(OR(M659="",M659=0),0,H659*VALUE(SUBSTITUTE(M659&amp;"","$",""))),0)</f>
        <v/>
      </c>
    </row>
    <row r="660" hidden="1" outlineLevel="1" ht="16" customHeight="1">
      <c r="A660" s="13" t="n"/>
      <c r="B660" s="25" t="n"/>
      <c r="C660" s="26" t="n"/>
      <c r="D660" s="56" t="n"/>
      <c r="E660" s="56" t="n"/>
      <c r="F660" s="27" t="n"/>
      <c r="G660" s="18">
        <f>IF(D660="Tandem",10,IF(D660="TT",22,IF(D660="Quad",25,"")))</f>
        <v/>
      </c>
      <c r="H660" s="28">
        <f>IFERROR(IF(F660*G660=0,0,F660*G660),0)</f>
        <v/>
      </c>
      <c r="I660" s="29" t="n"/>
      <c r="J660" s="57" t="n"/>
      <c r="K660" s="25" t="n"/>
      <c r="L660" s="30" t="n"/>
      <c r="M660" s="58" t="n"/>
      <c r="N660" s="30" t="n"/>
      <c r="O660" s="24">
        <f>IFERROR(IF(OR(M660="",M660=0),0,H660*VALUE(SUBSTITUTE(M660&amp;"","$",""))),0)</f>
        <v/>
      </c>
    </row>
    <row r="661" hidden="1" outlineLevel="1" ht="20" customHeight="1">
      <c r="A661" s="59" t="inlineStr">
        <is>
          <t>Daily Notes:</t>
        </is>
      </c>
      <c r="B661" s="54" t="n"/>
      <c r="C661" s="54" t="n"/>
      <c r="D661" s="54" t="n"/>
      <c r="E661" s="54" t="n"/>
      <c r="F661" s="54" t="n"/>
      <c r="G661" s="54" t="n"/>
      <c r="H661" s="54" t="n"/>
      <c r="I661" s="54" t="n"/>
      <c r="J661" s="54" t="n"/>
      <c r="K661" s="54" t="n"/>
      <c r="L661" s="54" t="n"/>
      <c r="M661" s="54" t="n"/>
      <c r="N661" s="50" t="n"/>
      <c r="O661" s="60" t="n"/>
    </row>
    <row r="662" hidden="1" outlineLevel="1" ht="18" customHeight="1">
      <c r="A662" s="32" t="inlineStr">
        <is>
          <t>DAILY TOTAL</t>
        </is>
      </c>
      <c r="B662" s="54" t="n"/>
      <c r="C662" s="54" t="n"/>
      <c r="D662" s="54" t="n"/>
      <c r="E662" s="54" t="n"/>
      <c r="F662" s="54" t="n"/>
      <c r="G662" s="50" t="n"/>
      <c r="H662" s="34">
        <f>SUM(H631:H660)</f>
        <v/>
      </c>
      <c r="I662" s="35">
        <f>SUM(I631:I660)</f>
        <v/>
      </c>
      <c r="J662" s="61" t="n"/>
      <c r="K662" s="61" t="n"/>
      <c r="L662" s="61" t="n"/>
      <c r="M662" s="36">
        <f>SUM(O631:O660)</f>
        <v/>
      </c>
      <c r="N662" s="61" t="n"/>
      <c r="O662" s="62" t="n"/>
    </row>
    <row r="663" hidden="1" outlineLevel="1" ht="18" customHeight="1">
      <c r="A663" s="2" t="inlineStr">
        <is>
          <t>▶ RUNNING TOTAL</t>
        </is>
      </c>
      <c r="B663" s="54" t="n"/>
      <c r="C663" s="54" t="n"/>
      <c r="D663" s="54" t="n"/>
      <c r="E663" s="54" t="n"/>
      <c r="F663" s="54" t="n"/>
      <c r="G663" s="50" t="n"/>
      <c r="H663" s="37">
        <f>H50+H86+H122+H158+H194+H230+H266+H302+H338+H374+H410+H446+H482+H518+H554+H590+H626+H662</f>
        <v/>
      </c>
      <c r="I663" s="63" t="n"/>
      <c r="J663" s="63" t="n"/>
      <c r="K663" s="63" t="n"/>
      <c r="L663" s="63" t="n"/>
      <c r="M663" s="38">
        <f>M50+M86+M122+M158+M194+M230+M266+M302+M338+M374+M410+M446+M482+M518+M554+M590+M626+M662</f>
        <v/>
      </c>
      <c r="N663" s="63" t="n"/>
      <c r="O663" s="64" t="n"/>
    </row>
    <row r="664" hidden="1" outlineLevel="1" ht="8" customHeight="1"/>
    <row r="665" ht="22" customHeight="1">
      <c r="A665" s="55" t="inlineStr">
        <is>
          <t>DAY 19</t>
        </is>
      </c>
      <c r="B665" s="54" t="n"/>
      <c r="C665" s="54" t="n"/>
      <c r="D665" s="54" t="n"/>
      <c r="E665" s="54" t="n"/>
      <c r="F665" s="54" t="n"/>
      <c r="G665" s="54" t="n"/>
      <c r="H665" s="54" t="n"/>
      <c r="I665" s="54" t="n"/>
      <c r="J665" s="54" t="n"/>
      <c r="K665" s="54" t="n"/>
      <c r="L665" s="54" t="n"/>
      <c r="M665" s="54" t="n"/>
      <c r="N665" s="50" t="n"/>
    </row>
    <row r="666" hidden="1" outlineLevel="1" ht="28" customHeight="1">
      <c r="A666" s="12" t="inlineStr">
        <is>
          <t>Date</t>
        </is>
      </c>
      <c r="B666" s="12" t="inlineStr">
        <is>
          <t>Cartage Company</t>
        </is>
      </c>
      <c r="C666" s="12" t="inlineStr">
        <is>
          <t>Truck Rego</t>
        </is>
      </c>
      <c r="D666" s="12" t="inlineStr">
        <is>
          <t>Truck Type</t>
        </is>
      </c>
      <c r="E666" s="12" t="inlineStr">
        <is>
          <t>Exp / Imp</t>
        </is>
      </c>
      <c r="F666" s="12" t="inlineStr">
        <is>
          <t>Loads</t>
        </is>
      </c>
      <c r="G666" s="12" t="inlineStr">
        <is>
          <t>m³ / Load</t>
        </is>
      </c>
      <c r="H666" s="12" t="inlineStr">
        <is>
          <t>Total m³</t>
        </is>
      </c>
      <c r="I666" s="12" t="inlineStr">
        <is>
          <t>Hours</t>
        </is>
      </c>
      <c r="J666" s="12" t="inlineStr">
        <is>
          <t>Material</t>
        </is>
      </c>
      <c r="K666" s="12" t="inlineStr">
        <is>
          <t>Tip Site</t>
        </is>
      </c>
      <c r="L666" s="12" t="inlineStr">
        <is>
          <t>Docket #</t>
        </is>
      </c>
      <c r="M666" s="12" t="inlineStr">
        <is>
          <t>Rate Paid ($/m³)</t>
        </is>
      </c>
      <c r="N666" s="12" t="inlineStr">
        <is>
          <t>Invoice #</t>
        </is>
      </c>
    </row>
    <row r="667" hidden="1" outlineLevel="1" ht="16" customHeight="1">
      <c r="A667" s="13" t="n"/>
      <c r="B667" s="14" t="n"/>
      <c r="C667" s="15" t="n"/>
      <c r="D667" s="56" t="n"/>
      <c r="E667" s="56" t="n"/>
      <c r="F667" s="17" t="n"/>
      <c r="G667" s="18">
        <f>IF(D667="Tandem",10,IF(D667="TT",22,IF(D667="Quad",25,"")))</f>
        <v/>
      </c>
      <c r="H667" s="19">
        <f>IFERROR(IF(F667*G667=0,0,F667*G667),0)</f>
        <v/>
      </c>
      <c r="I667" s="20" t="n"/>
      <c r="J667" s="57" t="n"/>
      <c r="K667" s="14" t="n"/>
      <c r="L667" s="22" t="n"/>
      <c r="M667" s="58" t="n"/>
      <c r="N667" s="22" t="n"/>
      <c r="O667" s="24">
        <f>IFERROR(IF(OR(M667="",M667=0),0,H667*VALUE(SUBSTITUTE(M667&amp;"","$",""))),0)</f>
        <v/>
      </c>
    </row>
    <row r="668" hidden="1" outlineLevel="1" ht="16" customHeight="1">
      <c r="A668" s="13" t="n"/>
      <c r="B668" s="25" t="n"/>
      <c r="C668" s="26" t="n"/>
      <c r="D668" s="56" t="n"/>
      <c r="E668" s="56" t="n"/>
      <c r="F668" s="27" t="n"/>
      <c r="G668" s="18">
        <f>IF(D668="Tandem",10,IF(D668="TT",22,IF(D668="Quad",25,"")))</f>
        <v/>
      </c>
      <c r="H668" s="28">
        <f>IFERROR(IF(F668*G668=0,0,F668*G668),0)</f>
        <v/>
      </c>
      <c r="I668" s="29" t="n"/>
      <c r="J668" s="57" t="n"/>
      <c r="K668" s="25" t="n"/>
      <c r="L668" s="30" t="n"/>
      <c r="M668" s="58" t="n"/>
      <c r="N668" s="30" t="n"/>
      <c r="O668" s="24">
        <f>IFERROR(IF(OR(M668="",M668=0),0,H668*VALUE(SUBSTITUTE(M668&amp;"","$",""))),0)</f>
        <v/>
      </c>
    </row>
    <row r="669" hidden="1" outlineLevel="1" ht="16" customHeight="1">
      <c r="A669" s="13" t="n"/>
      <c r="B669" s="14" t="n"/>
      <c r="C669" s="15" t="n"/>
      <c r="D669" s="56" t="n"/>
      <c r="E669" s="56" t="n"/>
      <c r="F669" s="17" t="n"/>
      <c r="G669" s="18">
        <f>IF(D669="Tandem",10,IF(D669="TT",22,IF(D669="Quad",25,"")))</f>
        <v/>
      </c>
      <c r="H669" s="19">
        <f>IFERROR(IF(F669*G669=0,0,F669*G669),0)</f>
        <v/>
      </c>
      <c r="I669" s="20" t="n"/>
      <c r="J669" s="57" t="n"/>
      <c r="K669" s="14" t="n"/>
      <c r="L669" s="22" t="n"/>
      <c r="M669" s="58" t="n"/>
      <c r="N669" s="22" t="n"/>
      <c r="O669" s="24">
        <f>IFERROR(IF(OR(M669="",M669=0),0,H669*VALUE(SUBSTITUTE(M669&amp;"","$",""))),0)</f>
        <v/>
      </c>
    </row>
    <row r="670" hidden="1" outlineLevel="1" ht="16" customHeight="1">
      <c r="A670" s="13" t="n"/>
      <c r="B670" s="25" t="n"/>
      <c r="C670" s="26" t="n"/>
      <c r="D670" s="56" t="n"/>
      <c r="E670" s="56" t="n"/>
      <c r="F670" s="27" t="n"/>
      <c r="G670" s="18">
        <f>IF(D670="Tandem",10,IF(D670="TT",22,IF(D670="Quad",25,"")))</f>
        <v/>
      </c>
      <c r="H670" s="28">
        <f>IFERROR(IF(F670*G670=0,0,F670*G670),0)</f>
        <v/>
      </c>
      <c r="I670" s="29" t="n"/>
      <c r="J670" s="57" t="n"/>
      <c r="K670" s="25" t="n"/>
      <c r="L670" s="30" t="n"/>
      <c r="M670" s="58" t="n"/>
      <c r="N670" s="30" t="n"/>
      <c r="O670" s="24">
        <f>IFERROR(IF(OR(M670="",M670=0),0,H670*VALUE(SUBSTITUTE(M670&amp;"","$",""))),0)</f>
        <v/>
      </c>
    </row>
    <row r="671" hidden="1" outlineLevel="1" ht="16" customHeight="1">
      <c r="A671" s="13" t="n"/>
      <c r="B671" s="14" t="n"/>
      <c r="C671" s="15" t="n"/>
      <c r="D671" s="56" t="n"/>
      <c r="E671" s="56" t="n"/>
      <c r="F671" s="17" t="n"/>
      <c r="G671" s="18">
        <f>IF(D671="Tandem",10,IF(D671="TT",22,IF(D671="Quad",25,"")))</f>
        <v/>
      </c>
      <c r="H671" s="19">
        <f>IFERROR(IF(F671*G671=0,0,F671*G671),0)</f>
        <v/>
      </c>
      <c r="I671" s="20" t="n"/>
      <c r="J671" s="57" t="n"/>
      <c r="K671" s="14" t="n"/>
      <c r="L671" s="22" t="n"/>
      <c r="M671" s="58" t="n"/>
      <c r="N671" s="22" t="n"/>
      <c r="O671" s="24">
        <f>IFERROR(IF(OR(M671="",M671=0),0,H671*VALUE(SUBSTITUTE(M671&amp;"","$",""))),0)</f>
        <v/>
      </c>
    </row>
    <row r="672" hidden="1" outlineLevel="1" ht="16" customHeight="1">
      <c r="A672" s="13" t="n"/>
      <c r="B672" s="25" t="n"/>
      <c r="C672" s="26" t="n"/>
      <c r="D672" s="56" t="n"/>
      <c r="E672" s="56" t="n"/>
      <c r="F672" s="27" t="n"/>
      <c r="G672" s="18">
        <f>IF(D672="Tandem",10,IF(D672="TT",22,IF(D672="Quad",25,"")))</f>
        <v/>
      </c>
      <c r="H672" s="28">
        <f>IFERROR(IF(F672*G672=0,0,F672*G672),0)</f>
        <v/>
      </c>
      <c r="I672" s="29" t="n"/>
      <c r="J672" s="57" t="n"/>
      <c r="K672" s="25" t="n"/>
      <c r="L672" s="30" t="n"/>
      <c r="M672" s="58" t="n"/>
      <c r="N672" s="30" t="n"/>
      <c r="O672" s="24">
        <f>IFERROR(IF(OR(M672="",M672=0),0,H672*VALUE(SUBSTITUTE(M672&amp;"","$",""))),0)</f>
        <v/>
      </c>
    </row>
    <row r="673" hidden="1" outlineLevel="1" ht="16" customHeight="1">
      <c r="A673" s="13" t="n"/>
      <c r="B673" s="14" t="n"/>
      <c r="C673" s="15" t="n"/>
      <c r="D673" s="56" t="n"/>
      <c r="E673" s="56" t="n"/>
      <c r="F673" s="17" t="n"/>
      <c r="G673" s="18">
        <f>IF(D673="Tandem",10,IF(D673="TT",22,IF(D673="Quad",25,"")))</f>
        <v/>
      </c>
      <c r="H673" s="19">
        <f>IFERROR(IF(F673*G673=0,0,F673*G673),0)</f>
        <v/>
      </c>
      <c r="I673" s="20" t="n"/>
      <c r="J673" s="57" t="n"/>
      <c r="K673" s="14" t="n"/>
      <c r="L673" s="22" t="n"/>
      <c r="M673" s="58" t="n"/>
      <c r="N673" s="22" t="n"/>
      <c r="O673" s="24">
        <f>IFERROR(IF(OR(M673="",M673=0),0,H673*VALUE(SUBSTITUTE(M673&amp;"","$",""))),0)</f>
        <v/>
      </c>
    </row>
    <row r="674" hidden="1" outlineLevel="1" ht="16" customHeight="1">
      <c r="A674" s="13" t="n"/>
      <c r="B674" s="25" t="n"/>
      <c r="C674" s="26" t="n"/>
      <c r="D674" s="56" t="n"/>
      <c r="E674" s="56" t="n"/>
      <c r="F674" s="27" t="n"/>
      <c r="G674" s="18">
        <f>IF(D674="Tandem",10,IF(D674="TT",22,IF(D674="Quad",25,"")))</f>
        <v/>
      </c>
      <c r="H674" s="28">
        <f>IFERROR(IF(F674*G674=0,0,F674*G674),0)</f>
        <v/>
      </c>
      <c r="I674" s="29" t="n"/>
      <c r="J674" s="57" t="n"/>
      <c r="K674" s="25" t="n"/>
      <c r="L674" s="30" t="n"/>
      <c r="M674" s="58" t="n"/>
      <c r="N674" s="30" t="n"/>
      <c r="O674" s="24">
        <f>IFERROR(IF(OR(M674="",M674=0),0,H674*VALUE(SUBSTITUTE(M674&amp;"","$",""))),0)</f>
        <v/>
      </c>
    </row>
    <row r="675" hidden="1" outlineLevel="1" ht="16" customHeight="1">
      <c r="A675" s="13" t="n"/>
      <c r="B675" s="14" t="n"/>
      <c r="C675" s="15" t="n"/>
      <c r="D675" s="56" t="n"/>
      <c r="E675" s="56" t="n"/>
      <c r="F675" s="17" t="n"/>
      <c r="G675" s="18">
        <f>IF(D675="Tandem",10,IF(D675="TT",22,IF(D675="Quad",25,"")))</f>
        <v/>
      </c>
      <c r="H675" s="19">
        <f>IFERROR(IF(F675*G675=0,0,F675*G675),0)</f>
        <v/>
      </c>
      <c r="I675" s="20" t="n"/>
      <c r="J675" s="57" t="n"/>
      <c r="K675" s="14" t="n"/>
      <c r="L675" s="22" t="n"/>
      <c r="M675" s="58" t="n"/>
      <c r="N675" s="22" t="n"/>
      <c r="O675" s="24">
        <f>IFERROR(IF(OR(M675="",M675=0),0,H675*VALUE(SUBSTITUTE(M675&amp;"","$",""))),0)</f>
        <v/>
      </c>
    </row>
    <row r="676" hidden="1" outlineLevel="1" ht="16" customHeight="1">
      <c r="A676" s="13" t="n"/>
      <c r="B676" s="25" t="n"/>
      <c r="C676" s="26" t="n"/>
      <c r="D676" s="56" t="n"/>
      <c r="E676" s="56" t="n"/>
      <c r="F676" s="27" t="n"/>
      <c r="G676" s="18">
        <f>IF(D676="Tandem",10,IF(D676="TT",22,IF(D676="Quad",25,"")))</f>
        <v/>
      </c>
      <c r="H676" s="28">
        <f>IFERROR(IF(F676*G676=0,0,F676*G676),0)</f>
        <v/>
      </c>
      <c r="I676" s="29" t="n"/>
      <c r="J676" s="57" t="n"/>
      <c r="K676" s="25" t="n"/>
      <c r="L676" s="30" t="n"/>
      <c r="M676" s="58" t="n"/>
      <c r="N676" s="30" t="n"/>
      <c r="O676" s="24">
        <f>IFERROR(IF(OR(M676="",M676=0),0,H676*VALUE(SUBSTITUTE(M676&amp;"","$",""))),0)</f>
        <v/>
      </c>
    </row>
    <row r="677" hidden="1" outlineLevel="1" ht="16" customHeight="1">
      <c r="A677" s="13" t="n"/>
      <c r="B677" s="14" t="n"/>
      <c r="C677" s="15" t="n"/>
      <c r="D677" s="56" t="n"/>
      <c r="E677" s="56" t="n"/>
      <c r="F677" s="17" t="n"/>
      <c r="G677" s="18">
        <f>IF(D677="Tandem",10,IF(D677="TT",22,IF(D677="Quad",25,"")))</f>
        <v/>
      </c>
      <c r="H677" s="19">
        <f>IFERROR(IF(F677*G677=0,0,F677*G677),0)</f>
        <v/>
      </c>
      <c r="I677" s="20" t="n"/>
      <c r="J677" s="57" t="n"/>
      <c r="K677" s="14" t="n"/>
      <c r="L677" s="22" t="n"/>
      <c r="M677" s="58" t="n"/>
      <c r="N677" s="22" t="n"/>
      <c r="O677" s="24">
        <f>IFERROR(IF(OR(M677="",M677=0),0,H677*VALUE(SUBSTITUTE(M677&amp;"","$",""))),0)</f>
        <v/>
      </c>
    </row>
    <row r="678" hidden="1" outlineLevel="1" ht="16" customHeight="1">
      <c r="A678" s="13" t="n"/>
      <c r="B678" s="25" t="n"/>
      <c r="C678" s="26" t="n"/>
      <c r="D678" s="56" t="n"/>
      <c r="E678" s="56" t="n"/>
      <c r="F678" s="27" t="n"/>
      <c r="G678" s="18">
        <f>IF(D678="Tandem",10,IF(D678="TT",22,IF(D678="Quad",25,"")))</f>
        <v/>
      </c>
      <c r="H678" s="28">
        <f>IFERROR(IF(F678*G678=0,0,F678*G678),0)</f>
        <v/>
      </c>
      <c r="I678" s="29" t="n"/>
      <c r="J678" s="57" t="n"/>
      <c r="K678" s="25" t="n"/>
      <c r="L678" s="30" t="n"/>
      <c r="M678" s="58" t="n"/>
      <c r="N678" s="30" t="n"/>
      <c r="O678" s="24">
        <f>IFERROR(IF(OR(M678="",M678=0),0,H678*VALUE(SUBSTITUTE(M678&amp;"","$",""))),0)</f>
        <v/>
      </c>
    </row>
    <row r="679" hidden="1" outlineLevel="1" ht="16" customHeight="1">
      <c r="A679" s="13" t="n"/>
      <c r="B679" s="14" t="n"/>
      <c r="C679" s="15" t="n"/>
      <c r="D679" s="56" t="n"/>
      <c r="E679" s="56" t="n"/>
      <c r="F679" s="17" t="n"/>
      <c r="G679" s="18">
        <f>IF(D679="Tandem",10,IF(D679="TT",22,IF(D679="Quad",25,"")))</f>
        <v/>
      </c>
      <c r="H679" s="19">
        <f>IFERROR(IF(F679*G679=0,0,F679*G679),0)</f>
        <v/>
      </c>
      <c r="I679" s="20" t="n"/>
      <c r="J679" s="57" t="n"/>
      <c r="K679" s="14" t="n"/>
      <c r="L679" s="22" t="n"/>
      <c r="M679" s="58" t="n"/>
      <c r="N679" s="22" t="n"/>
      <c r="O679" s="24">
        <f>IFERROR(IF(OR(M679="",M679=0),0,H679*VALUE(SUBSTITUTE(M679&amp;"","$",""))),0)</f>
        <v/>
      </c>
    </row>
    <row r="680" hidden="1" outlineLevel="1" ht="16" customHeight="1">
      <c r="A680" s="13" t="n"/>
      <c r="B680" s="25" t="n"/>
      <c r="C680" s="26" t="n"/>
      <c r="D680" s="56" t="n"/>
      <c r="E680" s="56" t="n"/>
      <c r="F680" s="27" t="n"/>
      <c r="G680" s="18">
        <f>IF(D680="Tandem",10,IF(D680="TT",22,IF(D680="Quad",25,"")))</f>
        <v/>
      </c>
      <c r="H680" s="28">
        <f>IFERROR(IF(F680*G680=0,0,F680*G680),0)</f>
        <v/>
      </c>
      <c r="I680" s="29" t="n"/>
      <c r="J680" s="57" t="n"/>
      <c r="K680" s="25" t="n"/>
      <c r="L680" s="30" t="n"/>
      <c r="M680" s="58" t="n"/>
      <c r="N680" s="30" t="n"/>
      <c r="O680" s="24">
        <f>IFERROR(IF(OR(M680="",M680=0),0,H680*VALUE(SUBSTITUTE(M680&amp;"","$",""))),0)</f>
        <v/>
      </c>
    </row>
    <row r="681" hidden="1" outlineLevel="1" ht="16" customHeight="1">
      <c r="A681" s="13" t="n"/>
      <c r="B681" s="14" t="n"/>
      <c r="C681" s="15" t="n"/>
      <c r="D681" s="56" t="n"/>
      <c r="E681" s="56" t="n"/>
      <c r="F681" s="17" t="n"/>
      <c r="G681" s="18">
        <f>IF(D681="Tandem",10,IF(D681="TT",22,IF(D681="Quad",25,"")))</f>
        <v/>
      </c>
      <c r="H681" s="19">
        <f>IFERROR(IF(F681*G681=0,0,F681*G681),0)</f>
        <v/>
      </c>
      <c r="I681" s="20" t="n"/>
      <c r="J681" s="57" t="n"/>
      <c r="K681" s="14" t="n"/>
      <c r="L681" s="22" t="n"/>
      <c r="M681" s="58" t="n"/>
      <c r="N681" s="22" t="n"/>
      <c r="O681" s="24">
        <f>IFERROR(IF(OR(M681="",M681=0),0,H681*VALUE(SUBSTITUTE(M681&amp;"","$",""))),0)</f>
        <v/>
      </c>
    </row>
    <row r="682" hidden="1" outlineLevel="1" ht="16" customHeight="1">
      <c r="A682" s="13" t="n"/>
      <c r="B682" s="25" t="n"/>
      <c r="C682" s="26" t="n"/>
      <c r="D682" s="56" t="n"/>
      <c r="E682" s="56" t="n"/>
      <c r="F682" s="27" t="n"/>
      <c r="G682" s="18">
        <f>IF(D682="Tandem",10,IF(D682="TT",22,IF(D682="Quad",25,"")))</f>
        <v/>
      </c>
      <c r="H682" s="28">
        <f>IFERROR(IF(F682*G682=0,0,F682*G682),0)</f>
        <v/>
      </c>
      <c r="I682" s="29" t="n"/>
      <c r="J682" s="57" t="n"/>
      <c r="K682" s="25" t="n"/>
      <c r="L682" s="30" t="n"/>
      <c r="M682" s="58" t="n"/>
      <c r="N682" s="30" t="n"/>
      <c r="O682" s="24">
        <f>IFERROR(IF(OR(M682="",M682=0),0,H682*VALUE(SUBSTITUTE(M682&amp;"","$",""))),0)</f>
        <v/>
      </c>
    </row>
    <row r="683" hidden="1" outlineLevel="1" ht="16" customHeight="1">
      <c r="A683" s="13" t="n"/>
      <c r="B683" s="14" t="n"/>
      <c r="C683" s="15" t="n"/>
      <c r="D683" s="56" t="n"/>
      <c r="E683" s="56" t="n"/>
      <c r="F683" s="17" t="n"/>
      <c r="G683" s="18">
        <f>IF(D683="Tandem",10,IF(D683="TT",22,IF(D683="Quad",25,"")))</f>
        <v/>
      </c>
      <c r="H683" s="19">
        <f>IFERROR(IF(F683*G683=0,0,F683*G683),0)</f>
        <v/>
      </c>
      <c r="I683" s="20" t="n"/>
      <c r="J683" s="57" t="n"/>
      <c r="K683" s="14" t="n"/>
      <c r="L683" s="22" t="n"/>
      <c r="M683" s="58" t="n"/>
      <c r="N683" s="22" t="n"/>
      <c r="O683" s="24">
        <f>IFERROR(IF(OR(M683="",M683=0),0,H683*VALUE(SUBSTITUTE(M683&amp;"","$",""))),0)</f>
        <v/>
      </c>
    </row>
    <row r="684" hidden="1" outlineLevel="1" ht="16" customHeight="1">
      <c r="A684" s="13" t="n"/>
      <c r="B684" s="25" t="n"/>
      <c r="C684" s="26" t="n"/>
      <c r="D684" s="56" t="n"/>
      <c r="E684" s="56" t="n"/>
      <c r="F684" s="27" t="n"/>
      <c r="G684" s="18">
        <f>IF(D684="Tandem",10,IF(D684="TT",22,IF(D684="Quad",25,"")))</f>
        <v/>
      </c>
      <c r="H684" s="28">
        <f>IFERROR(IF(F684*G684=0,0,F684*G684),0)</f>
        <v/>
      </c>
      <c r="I684" s="29" t="n"/>
      <c r="J684" s="57" t="n"/>
      <c r="K684" s="25" t="n"/>
      <c r="L684" s="30" t="n"/>
      <c r="M684" s="58" t="n"/>
      <c r="N684" s="30" t="n"/>
      <c r="O684" s="24">
        <f>IFERROR(IF(OR(M684="",M684=0),0,H684*VALUE(SUBSTITUTE(M684&amp;"","$",""))),0)</f>
        <v/>
      </c>
    </row>
    <row r="685" hidden="1" outlineLevel="1" ht="16" customHeight="1">
      <c r="A685" s="13" t="n"/>
      <c r="B685" s="14" t="n"/>
      <c r="C685" s="15" t="n"/>
      <c r="D685" s="56" t="n"/>
      <c r="E685" s="56" t="n"/>
      <c r="F685" s="17" t="n"/>
      <c r="G685" s="18">
        <f>IF(D685="Tandem",10,IF(D685="TT",22,IF(D685="Quad",25,"")))</f>
        <v/>
      </c>
      <c r="H685" s="19">
        <f>IFERROR(IF(F685*G685=0,0,F685*G685),0)</f>
        <v/>
      </c>
      <c r="I685" s="20" t="n"/>
      <c r="J685" s="57" t="n"/>
      <c r="K685" s="14" t="n"/>
      <c r="L685" s="22" t="n"/>
      <c r="M685" s="58" t="n"/>
      <c r="N685" s="22" t="n"/>
      <c r="O685" s="24">
        <f>IFERROR(IF(OR(M685="",M685=0),0,H685*VALUE(SUBSTITUTE(M685&amp;"","$",""))),0)</f>
        <v/>
      </c>
    </row>
    <row r="686" hidden="1" outlineLevel="1" ht="16" customHeight="1">
      <c r="A686" s="13" t="n"/>
      <c r="B686" s="25" t="n"/>
      <c r="C686" s="26" t="n"/>
      <c r="D686" s="56" t="n"/>
      <c r="E686" s="56" t="n"/>
      <c r="F686" s="27" t="n"/>
      <c r="G686" s="18">
        <f>IF(D686="Tandem",10,IF(D686="TT",22,IF(D686="Quad",25,"")))</f>
        <v/>
      </c>
      <c r="H686" s="28">
        <f>IFERROR(IF(F686*G686=0,0,F686*G686),0)</f>
        <v/>
      </c>
      <c r="I686" s="29" t="n"/>
      <c r="J686" s="57" t="n"/>
      <c r="K686" s="25" t="n"/>
      <c r="L686" s="30" t="n"/>
      <c r="M686" s="58" t="n"/>
      <c r="N686" s="30" t="n"/>
      <c r="O686" s="24">
        <f>IFERROR(IF(OR(M686="",M686=0),0,H686*VALUE(SUBSTITUTE(M686&amp;"","$",""))),0)</f>
        <v/>
      </c>
    </row>
    <row r="687" hidden="1" outlineLevel="1" ht="16" customHeight="1">
      <c r="A687" s="13" t="n"/>
      <c r="B687" s="14" t="n"/>
      <c r="C687" s="15" t="n"/>
      <c r="D687" s="56" t="n"/>
      <c r="E687" s="56" t="n"/>
      <c r="F687" s="17" t="n"/>
      <c r="G687" s="18">
        <f>IF(D687="Tandem",10,IF(D687="TT",22,IF(D687="Quad",25,"")))</f>
        <v/>
      </c>
      <c r="H687" s="19">
        <f>IFERROR(IF(F687*G687=0,0,F687*G687),0)</f>
        <v/>
      </c>
      <c r="I687" s="20" t="n"/>
      <c r="J687" s="57" t="n"/>
      <c r="K687" s="14" t="n"/>
      <c r="L687" s="22" t="n"/>
      <c r="M687" s="58" t="n"/>
      <c r="N687" s="22" t="n"/>
      <c r="O687" s="24">
        <f>IFERROR(IF(OR(M687="",M687=0),0,H687*VALUE(SUBSTITUTE(M687&amp;"","$",""))),0)</f>
        <v/>
      </c>
    </row>
    <row r="688" hidden="1" outlineLevel="1" ht="16" customHeight="1">
      <c r="A688" s="13" t="n"/>
      <c r="B688" s="25" t="n"/>
      <c r="C688" s="26" t="n"/>
      <c r="D688" s="56" t="n"/>
      <c r="E688" s="56" t="n"/>
      <c r="F688" s="27" t="n"/>
      <c r="G688" s="18">
        <f>IF(D688="Tandem",10,IF(D688="TT",22,IF(D688="Quad",25,"")))</f>
        <v/>
      </c>
      <c r="H688" s="28">
        <f>IFERROR(IF(F688*G688=0,0,F688*G688),0)</f>
        <v/>
      </c>
      <c r="I688" s="29" t="n"/>
      <c r="J688" s="57" t="n"/>
      <c r="K688" s="25" t="n"/>
      <c r="L688" s="30" t="n"/>
      <c r="M688" s="58" t="n"/>
      <c r="N688" s="30" t="n"/>
      <c r="O688" s="24">
        <f>IFERROR(IF(OR(M688="",M688=0),0,H688*VALUE(SUBSTITUTE(M688&amp;"","$",""))),0)</f>
        <v/>
      </c>
    </row>
    <row r="689" hidden="1" outlineLevel="1" ht="16" customHeight="1">
      <c r="A689" s="13" t="n"/>
      <c r="B689" s="14" t="n"/>
      <c r="C689" s="15" t="n"/>
      <c r="D689" s="56" t="n"/>
      <c r="E689" s="56" t="n"/>
      <c r="F689" s="17" t="n"/>
      <c r="G689" s="18">
        <f>IF(D689="Tandem",10,IF(D689="TT",22,IF(D689="Quad",25,"")))</f>
        <v/>
      </c>
      <c r="H689" s="19">
        <f>IFERROR(IF(F689*G689=0,0,F689*G689),0)</f>
        <v/>
      </c>
      <c r="I689" s="20" t="n"/>
      <c r="J689" s="57" t="n"/>
      <c r="K689" s="14" t="n"/>
      <c r="L689" s="22" t="n"/>
      <c r="M689" s="58" t="n"/>
      <c r="N689" s="22" t="n"/>
      <c r="O689" s="24">
        <f>IFERROR(IF(OR(M689="",M689=0),0,H689*VALUE(SUBSTITUTE(M689&amp;"","$",""))),0)</f>
        <v/>
      </c>
    </row>
    <row r="690" hidden="1" outlineLevel="1" ht="16" customHeight="1">
      <c r="A690" s="13" t="n"/>
      <c r="B690" s="25" t="n"/>
      <c r="C690" s="26" t="n"/>
      <c r="D690" s="56" t="n"/>
      <c r="E690" s="56" t="n"/>
      <c r="F690" s="27" t="n"/>
      <c r="G690" s="18">
        <f>IF(D690="Tandem",10,IF(D690="TT",22,IF(D690="Quad",25,"")))</f>
        <v/>
      </c>
      <c r="H690" s="28">
        <f>IFERROR(IF(F690*G690=0,0,F690*G690),0)</f>
        <v/>
      </c>
      <c r="I690" s="29" t="n"/>
      <c r="J690" s="57" t="n"/>
      <c r="K690" s="25" t="n"/>
      <c r="L690" s="30" t="n"/>
      <c r="M690" s="58" t="n"/>
      <c r="N690" s="30" t="n"/>
      <c r="O690" s="24">
        <f>IFERROR(IF(OR(M690="",M690=0),0,H690*VALUE(SUBSTITUTE(M690&amp;"","$",""))),0)</f>
        <v/>
      </c>
    </row>
    <row r="691" hidden="1" outlineLevel="1" ht="16" customHeight="1">
      <c r="A691" s="13" t="n"/>
      <c r="B691" s="14" t="n"/>
      <c r="C691" s="15" t="n"/>
      <c r="D691" s="56" t="n"/>
      <c r="E691" s="56" t="n"/>
      <c r="F691" s="17" t="n"/>
      <c r="G691" s="18">
        <f>IF(D691="Tandem",10,IF(D691="TT",22,IF(D691="Quad",25,"")))</f>
        <v/>
      </c>
      <c r="H691" s="19">
        <f>IFERROR(IF(F691*G691=0,0,F691*G691),0)</f>
        <v/>
      </c>
      <c r="I691" s="20" t="n"/>
      <c r="J691" s="57" t="n"/>
      <c r="K691" s="14" t="n"/>
      <c r="L691" s="22" t="n"/>
      <c r="M691" s="58" t="n"/>
      <c r="N691" s="22" t="n"/>
      <c r="O691" s="24">
        <f>IFERROR(IF(OR(M691="",M691=0),0,H691*VALUE(SUBSTITUTE(M691&amp;"","$",""))),0)</f>
        <v/>
      </c>
    </row>
    <row r="692" hidden="1" outlineLevel="1" ht="16" customHeight="1">
      <c r="A692" s="13" t="n"/>
      <c r="B692" s="25" t="n"/>
      <c r="C692" s="26" t="n"/>
      <c r="D692" s="56" t="n"/>
      <c r="E692" s="56" t="n"/>
      <c r="F692" s="27" t="n"/>
      <c r="G692" s="18">
        <f>IF(D692="Tandem",10,IF(D692="TT",22,IF(D692="Quad",25,"")))</f>
        <v/>
      </c>
      <c r="H692" s="28">
        <f>IFERROR(IF(F692*G692=0,0,F692*G692),0)</f>
        <v/>
      </c>
      <c r="I692" s="29" t="n"/>
      <c r="J692" s="57" t="n"/>
      <c r="K692" s="25" t="n"/>
      <c r="L692" s="30" t="n"/>
      <c r="M692" s="58" t="n"/>
      <c r="N692" s="30" t="n"/>
      <c r="O692" s="24">
        <f>IFERROR(IF(OR(M692="",M692=0),0,H692*VALUE(SUBSTITUTE(M692&amp;"","$",""))),0)</f>
        <v/>
      </c>
    </row>
    <row r="693" hidden="1" outlineLevel="1" ht="16" customHeight="1">
      <c r="A693" s="13" t="n"/>
      <c r="B693" s="14" t="n"/>
      <c r="C693" s="15" t="n"/>
      <c r="D693" s="56" t="n"/>
      <c r="E693" s="56" t="n"/>
      <c r="F693" s="17" t="n"/>
      <c r="G693" s="18">
        <f>IF(D693="Tandem",10,IF(D693="TT",22,IF(D693="Quad",25,"")))</f>
        <v/>
      </c>
      <c r="H693" s="19">
        <f>IFERROR(IF(F693*G693=0,0,F693*G693),0)</f>
        <v/>
      </c>
      <c r="I693" s="20" t="n"/>
      <c r="J693" s="57" t="n"/>
      <c r="K693" s="14" t="n"/>
      <c r="L693" s="22" t="n"/>
      <c r="M693" s="58" t="n"/>
      <c r="N693" s="22" t="n"/>
      <c r="O693" s="24">
        <f>IFERROR(IF(OR(M693="",M693=0),0,H693*VALUE(SUBSTITUTE(M693&amp;"","$",""))),0)</f>
        <v/>
      </c>
    </row>
    <row r="694" hidden="1" outlineLevel="1" ht="16" customHeight="1">
      <c r="A694" s="13" t="n"/>
      <c r="B694" s="25" t="n"/>
      <c r="C694" s="26" t="n"/>
      <c r="D694" s="56" t="n"/>
      <c r="E694" s="56" t="n"/>
      <c r="F694" s="27" t="n"/>
      <c r="G694" s="18">
        <f>IF(D694="Tandem",10,IF(D694="TT",22,IF(D694="Quad",25,"")))</f>
        <v/>
      </c>
      <c r="H694" s="28">
        <f>IFERROR(IF(F694*G694=0,0,F694*G694),0)</f>
        <v/>
      </c>
      <c r="I694" s="29" t="n"/>
      <c r="J694" s="57" t="n"/>
      <c r="K694" s="25" t="n"/>
      <c r="L694" s="30" t="n"/>
      <c r="M694" s="58" t="n"/>
      <c r="N694" s="30" t="n"/>
      <c r="O694" s="24">
        <f>IFERROR(IF(OR(M694="",M694=0),0,H694*VALUE(SUBSTITUTE(M694&amp;"","$",""))),0)</f>
        <v/>
      </c>
    </row>
    <row r="695" hidden="1" outlineLevel="1" ht="16" customHeight="1">
      <c r="A695" s="13" t="n"/>
      <c r="B695" s="14" t="n"/>
      <c r="C695" s="15" t="n"/>
      <c r="D695" s="56" t="n"/>
      <c r="E695" s="56" t="n"/>
      <c r="F695" s="17" t="n"/>
      <c r="G695" s="18">
        <f>IF(D695="Tandem",10,IF(D695="TT",22,IF(D695="Quad",25,"")))</f>
        <v/>
      </c>
      <c r="H695" s="19">
        <f>IFERROR(IF(F695*G695=0,0,F695*G695),0)</f>
        <v/>
      </c>
      <c r="I695" s="20" t="n"/>
      <c r="J695" s="57" t="n"/>
      <c r="K695" s="14" t="n"/>
      <c r="L695" s="22" t="n"/>
      <c r="M695" s="58" t="n"/>
      <c r="N695" s="22" t="n"/>
      <c r="O695" s="24">
        <f>IFERROR(IF(OR(M695="",M695=0),0,H695*VALUE(SUBSTITUTE(M695&amp;"","$",""))),0)</f>
        <v/>
      </c>
    </row>
    <row r="696" hidden="1" outlineLevel="1" ht="16" customHeight="1">
      <c r="A696" s="13" t="n"/>
      <c r="B696" s="25" t="n"/>
      <c r="C696" s="26" t="n"/>
      <c r="D696" s="56" t="n"/>
      <c r="E696" s="56" t="n"/>
      <c r="F696" s="27" t="n"/>
      <c r="G696" s="18">
        <f>IF(D696="Tandem",10,IF(D696="TT",22,IF(D696="Quad",25,"")))</f>
        <v/>
      </c>
      <c r="H696" s="28">
        <f>IFERROR(IF(F696*G696=0,0,F696*G696),0)</f>
        <v/>
      </c>
      <c r="I696" s="29" t="n"/>
      <c r="J696" s="57" t="n"/>
      <c r="K696" s="25" t="n"/>
      <c r="L696" s="30" t="n"/>
      <c r="M696" s="58" t="n"/>
      <c r="N696" s="30" t="n"/>
      <c r="O696" s="24">
        <f>IFERROR(IF(OR(M696="",M696=0),0,H696*VALUE(SUBSTITUTE(M696&amp;"","$",""))),0)</f>
        <v/>
      </c>
    </row>
    <row r="697" hidden="1" outlineLevel="1" ht="20" customHeight="1">
      <c r="A697" s="59" t="inlineStr">
        <is>
          <t>Daily Notes:</t>
        </is>
      </c>
      <c r="B697" s="54" t="n"/>
      <c r="C697" s="54" t="n"/>
      <c r="D697" s="54" t="n"/>
      <c r="E697" s="54" t="n"/>
      <c r="F697" s="54" t="n"/>
      <c r="G697" s="54" t="n"/>
      <c r="H697" s="54" t="n"/>
      <c r="I697" s="54" t="n"/>
      <c r="J697" s="54" t="n"/>
      <c r="K697" s="54" t="n"/>
      <c r="L697" s="54" t="n"/>
      <c r="M697" s="54" t="n"/>
      <c r="N697" s="50" t="n"/>
      <c r="O697" s="60" t="n"/>
    </row>
    <row r="698" hidden="1" outlineLevel="1" ht="18" customHeight="1">
      <c r="A698" s="32" t="inlineStr">
        <is>
          <t>DAILY TOTAL</t>
        </is>
      </c>
      <c r="B698" s="54" t="n"/>
      <c r="C698" s="54" t="n"/>
      <c r="D698" s="54" t="n"/>
      <c r="E698" s="54" t="n"/>
      <c r="F698" s="54" t="n"/>
      <c r="G698" s="50" t="n"/>
      <c r="H698" s="34">
        <f>SUM(H667:H696)</f>
        <v/>
      </c>
      <c r="I698" s="35">
        <f>SUM(I667:I696)</f>
        <v/>
      </c>
      <c r="J698" s="61" t="n"/>
      <c r="K698" s="61" t="n"/>
      <c r="L698" s="61" t="n"/>
      <c r="M698" s="36">
        <f>SUM(O667:O696)</f>
        <v/>
      </c>
      <c r="N698" s="61" t="n"/>
      <c r="O698" s="62" t="n"/>
    </row>
    <row r="699" hidden="1" outlineLevel="1" ht="18" customHeight="1">
      <c r="A699" s="2" t="inlineStr">
        <is>
          <t>▶ RUNNING TOTAL</t>
        </is>
      </c>
      <c r="B699" s="54" t="n"/>
      <c r="C699" s="54" t="n"/>
      <c r="D699" s="54" t="n"/>
      <c r="E699" s="54" t="n"/>
      <c r="F699" s="54" t="n"/>
      <c r="G699" s="50" t="n"/>
      <c r="H699" s="37">
        <f>H50+H86+H122+H158+H194+H230+H266+H302+H338+H374+H410+H446+H482+H518+H554+H590+H626+H662+H698</f>
        <v/>
      </c>
      <c r="I699" s="63" t="n"/>
      <c r="J699" s="63" t="n"/>
      <c r="K699" s="63" t="n"/>
      <c r="L699" s="63" t="n"/>
      <c r="M699" s="38">
        <f>M50+M86+M122+M158+M194+M230+M266+M302+M338+M374+M410+M446+M482+M518+M554+M590+M626+M662+M698</f>
        <v/>
      </c>
      <c r="N699" s="63" t="n"/>
      <c r="O699" s="64" t="n"/>
    </row>
    <row r="700" hidden="1" outlineLevel="1" ht="8" customHeight="1"/>
    <row r="701" ht="22" customHeight="1">
      <c r="A701" s="55" t="inlineStr">
        <is>
          <t>DAY 20</t>
        </is>
      </c>
      <c r="B701" s="54" t="n"/>
      <c r="C701" s="54" t="n"/>
      <c r="D701" s="54" t="n"/>
      <c r="E701" s="54" t="n"/>
      <c r="F701" s="54" t="n"/>
      <c r="G701" s="54" t="n"/>
      <c r="H701" s="54" t="n"/>
      <c r="I701" s="54" t="n"/>
      <c r="J701" s="54" t="n"/>
      <c r="K701" s="54" t="n"/>
      <c r="L701" s="54" t="n"/>
      <c r="M701" s="54" t="n"/>
      <c r="N701" s="50" t="n"/>
    </row>
    <row r="702" hidden="1" outlineLevel="1" ht="28" customHeight="1">
      <c r="A702" s="12" t="inlineStr">
        <is>
          <t>Date</t>
        </is>
      </c>
      <c r="B702" s="12" t="inlineStr">
        <is>
          <t>Cartage Company</t>
        </is>
      </c>
      <c r="C702" s="12" t="inlineStr">
        <is>
          <t>Truck Rego</t>
        </is>
      </c>
      <c r="D702" s="12" t="inlineStr">
        <is>
          <t>Truck Type</t>
        </is>
      </c>
      <c r="E702" s="12" t="inlineStr">
        <is>
          <t>Exp / Imp</t>
        </is>
      </c>
      <c r="F702" s="12" t="inlineStr">
        <is>
          <t>Loads</t>
        </is>
      </c>
      <c r="G702" s="12" t="inlineStr">
        <is>
          <t>m³ / Load</t>
        </is>
      </c>
      <c r="H702" s="12" t="inlineStr">
        <is>
          <t>Total m³</t>
        </is>
      </c>
      <c r="I702" s="12" t="inlineStr">
        <is>
          <t>Hours</t>
        </is>
      </c>
      <c r="J702" s="12" t="inlineStr">
        <is>
          <t>Material</t>
        </is>
      </c>
      <c r="K702" s="12" t="inlineStr">
        <is>
          <t>Tip Site</t>
        </is>
      </c>
      <c r="L702" s="12" t="inlineStr">
        <is>
          <t>Docket #</t>
        </is>
      </c>
      <c r="M702" s="12" t="inlineStr">
        <is>
          <t>Rate Paid ($/m³)</t>
        </is>
      </c>
      <c r="N702" s="12" t="inlineStr">
        <is>
          <t>Invoice #</t>
        </is>
      </c>
    </row>
    <row r="703" hidden="1" outlineLevel="1" ht="16" customHeight="1">
      <c r="A703" s="13" t="n"/>
      <c r="B703" s="14" t="n"/>
      <c r="C703" s="15" t="n"/>
      <c r="D703" s="56" t="n"/>
      <c r="E703" s="56" t="n"/>
      <c r="F703" s="17" t="n"/>
      <c r="G703" s="18">
        <f>IF(D703="Tandem",10,IF(D703="TT",22,IF(D703="Quad",25,"")))</f>
        <v/>
      </c>
      <c r="H703" s="19">
        <f>IFERROR(IF(F703*G703=0,0,F703*G703),0)</f>
        <v/>
      </c>
      <c r="I703" s="20" t="n"/>
      <c r="J703" s="57" t="n"/>
      <c r="K703" s="14" t="n"/>
      <c r="L703" s="22" t="n"/>
      <c r="M703" s="58" t="n"/>
      <c r="N703" s="22" t="n"/>
      <c r="O703" s="24">
        <f>IFERROR(IF(OR(M703="",M703=0),0,H703*VALUE(SUBSTITUTE(M703&amp;"","$",""))),0)</f>
        <v/>
      </c>
    </row>
    <row r="704" hidden="1" outlineLevel="1" ht="16" customHeight="1">
      <c r="A704" s="13" t="n"/>
      <c r="B704" s="25" t="n"/>
      <c r="C704" s="26" t="n"/>
      <c r="D704" s="56" t="n"/>
      <c r="E704" s="56" t="n"/>
      <c r="F704" s="27" t="n"/>
      <c r="G704" s="18">
        <f>IF(D704="Tandem",10,IF(D704="TT",22,IF(D704="Quad",25,"")))</f>
        <v/>
      </c>
      <c r="H704" s="28">
        <f>IFERROR(IF(F704*G704=0,0,F704*G704),0)</f>
        <v/>
      </c>
      <c r="I704" s="29" t="n"/>
      <c r="J704" s="57" t="n"/>
      <c r="K704" s="25" t="n"/>
      <c r="L704" s="30" t="n"/>
      <c r="M704" s="58" t="n"/>
      <c r="N704" s="30" t="n"/>
      <c r="O704" s="24">
        <f>IFERROR(IF(OR(M704="",M704=0),0,H704*VALUE(SUBSTITUTE(M704&amp;"","$",""))),0)</f>
        <v/>
      </c>
    </row>
    <row r="705" hidden="1" outlineLevel="1" ht="16" customHeight="1">
      <c r="A705" s="13" t="n"/>
      <c r="B705" s="14" t="n"/>
      <c r="C705" s="15" t="n"/>
      <c r="D705" s="56" t="n"/>
      <c r="E705" s="56" t="n"/>
      <c r="F705" s="17" t="n"/>
      <c r="G705" s="18">
        <f>IF(D705="Tandem",10,IF(D705="TT",22,IF(D705="Quad",25,"")))</f>
        <v/>
      </c>
      <c r="H705" s="19">
        <f>IFERROR(IF(F705*G705=0,0,F705*G705),0)</f>
        <v/>
      </c>
      <c r="I705" s="20" t="n"/>
      <c r="J705" s="57" t="n"/>
      <c r="K705" s="14" t="n"/>
      <c r="L705" s="22" t="n"/>
      <c r="M705" s="58" t="n"/>
      <c r="N705" s="22" t="n"/>
      <c r="O705" s="24">
        <f>IFERROR(IF(OR(M705="",M705=0),0,H705*VALUE(SUBSTITUTE(M705&amp;"","$",""))),0)</f>
        <v/>
      </c>
    </row>
    <row r="706" hidden="1" outlineLevel="1" ht="16" customHeight="1">
      <c r="A706" s="13" t="n"/>
      <c r="B706" s="25" t="n"/>
      <c r="C706" s="26" t="n"/>
      <c r="D706" s="56" t="n"/>
      <c r="E706" s="56" t="n"/>
      <c r="F706" s="27" t="n"/>
      <c r="G706" s="18">
        <f>IF(D706="Tandem",10,IF(D706="TT",22,IF(D706="Quad",25,"")))</f>
        <v/>
      </c>
      <c r="H706" s="28">
        <f>IFERROR(IF(F706*G706=0,0,F706*G706),0)</f>
        <v/>
      </c>
      <c r="I706" s="29" t="n"/>
      <c r="J706" s="57" t="n"/>
      <c r="K706" s="25" t="n"/>
      <c r="L706" s="30" t="n"/>
      <c r="M706" s="58" t="n"/>
      <c r="N706" s="30" t="n"/>
      <c r="O706" s="24">
        <f>IFERROR(IF(OR(M706="",M706=0),0,H706*VALUE(SUBSTITUTE(M706&amp;"","$",""))),0)</f>
        <v/>
      </c>
    </row>
    <row r="707" hidden="1" outlineLevel="1" ht="16" customHeight="1">
      <c r="A707" s="13" t="n"/>
      <c r="B707" s="14" t="n"/>
      <c r="C707" s="15" t="n"/>
      <c r="D707" s="56" t="n"/>
      <c r="E707" s="56" t="n"/>
      <c r="F707" s="17" t="n"/>
      <c r="G707" s="18">
        <f>IF(D707="Tandem",10,IF(D707="TT",22,IF(D707="Quad",25,"")))</f>
        <v/>
      </c>
      <c r="H707" s="19">
        <f>IFERROR(IF(F707*G707=0,0,F707*G707),0)</f>
        <v/>
      </c>
      <c r="I707" s="20" t="n"/>
      <c r="J707" s="57" t="n"/>
      <c r="K707" s="14" t="n"/>
      <c r="L707" s="22" t="n"/>
      <c r="M707" s="58" t="n"/>
      <c r="N707" s="22" t="n"/>
      <c r="O707" s="24">
        <f>IFERROR(IF(OR(M707="",M707=0),0,H707*VALUE(SUBSTITUTE(M707&amp;"","$",""))),0)</f>
        <v/>
      </c>
    </row>
    <row r="708" hidden="1" outlineLevel="1" ht="16" customHeight="1">
      <c r="A708" s="13" t="n"/>
      <c r="B708" s="25" t="n"/>
      <c r="C708" s="26" t="n"/>
      <c r="D708" s="56" t="n"/>
      <c r="E708" s="56" t="n"/>
      <c r="F708" s="27" t="n"/>
      <c r="G708" s="18">
        <f>IF(D708="Tandem",10,IF(D708="TT",22,IF(D708="Quad",25,"")))</f>
        <v/>
      </c>
      <c r="H708" s="28">
        <f>IFERROR(IF(F708*G708=0,0,F708*G708),0)</f>
        <v/>
      </c>
      <c r="I708" s="29" t="n"/>
      <c r="J708" s="57" t="n"/>
      <c r="K708" s="25" t="n"/>
      <c r="L708" s="30" t="n"/>
      <c r="M708" s="58" t="n"/>
      <c r="N708" s="30" t="n"/>
      <c r="O708" s="24">
        <f>IFERROR(IF(OR(M708="",M708=0),0,H708*VALUE(SUBSTITUTE(M708&amp;"","$",""))),0)</f>
        <v/>
      </c>
    </row>
    <row r="709" hidden="1" outlineLevel="1" ht="16" customHeight="1">
      <c r="A709" s="13" t="n"/>
      <c r="B709" s="14" t="n"/>
      <c r="C709" s="15" t="n"/>
      <c r="D709" s="56" t="n"/>
      <c r="E709" s="56" t="n"/>
      <c r="F709" s="17" t="n"/>
      <c r="G709" s="18">
        <f>IF(D709="Tandem",10,IF(D709="TT",22,IF(D709="Quad",25,"")))</f>
        <v/>
      </c>
      <c r="H709" s="19">
        <f>IFERROR(IF(F709*G709=0,0,F709*G709),0)</f>
        <v/>
      </c>
      <c r="I709" s="20" t="n"/>
      <c r="J709" s="57" t="n"/>
      <c r="K709" s="14" t="n"/>
      <c r="L709" s="22" t="n"/>
      <c r="M709" s="58" t="n"/>
      <c r="N709" s="22" t="n"/>
      <c r="O709" s="24">
        <f>IFERROR(IF(OR(M709="",M709=0),0,H709*VALUE(SUBSTITUTE(M709&amp;"","$",""))),0)</f>
        <v/>
      </c>
    </row>
    <row r="710" hidden="1" outlineLevel="1" ht="16" customHeight="1">
      <c r="A710" s="13" t="n"/>
      <c r="B710" s="25" t="n"/>
      <c r="C710" s="26" t="n"/>
      <c r="D710" s="56" t="n"/>
      <c r="E710" s="56" t="n"/>
      <c r="F710" s="27" t="n"/>
      <c r="G710" s="18">
        <f>IF(D710="Tandem",10,IF(D710="TT",22,IF(D710="Quad",25,"")))</f>
        <v/>
      </c>
      <c r="H710" s="28">
        <f>IFERROR(IF(F710*G710=0,0,F710*G710),0)</f>
        <v/>
      </c>
      <c r="I710" s="29" t="n"/>
      <c r="J710" s="57" t="n"/>
      <c r="K710" s="25" t="n"/>
      <c r="L710" s="30" t="n"/>
      <c r="M710" s="58" t="n"/>
      <c r="N710" s="30" t="n"/>
      <c r="O710" s="24">
        <f>IFERROR(IF(OR(M710="",M710=0),0,H710*VALUE(SUBSTITUTE(M710&amp;"","$",""))),0)</f>
        <v/>
      </c>
    </row>
    <row r="711" hidden="1" outlineLevel="1" ht="16" customHeight="1">
      <c r="A711" s="13" t="n"/>
      <c r="B711" s="14" t="n"/>
      <c r="C711" s="15" t="n"/>
      <c r="D711" s="56" t="n"/>
      <c r="E711" s="56" t="n"/>
      <c r="F711" s="17" t="n"/>
      <c r="G711" s="18">
        <f>IF(D711="Tandem",10,IF(D711="TT",22,IF(D711="Quad",25,"")))</f>
        <v/>
      </c>
      <c r="H711" s="19">
        <f>IFERROR(IF(F711*G711=0,0,F711*G711),0)</f>
        <v/>
      </c>
      <c r="I711" s="20" t="n"/>
      <c r="J711" s="57" t="n"/>
      <c r="K711" s="14" t="n"/>
      <c r="L711" s="22" t="n"/>
      <c r="M711" s="58" t="n"/>
      <c r="N711" s="22" t="n"/>
      <c r="O711" s="24">
        <f>IFERROR(IF(OR(M711="",M711=0),0,H711*VALUE(SUBSTITUTE(M711&amp;"","$",""))),0)</f>
        <v/>
      </c>
    </row>
    <row r="712" hidden="1" outlineLevel="1" ht="16" customHeight="1">
      <c r="A712" s="13" t="n"/>
      <c r="B712" s="25" t="n"/>
      <c r="C712" s="26" t="n"/>
      <c r="D712" s="56" t="n"/>
      <c r="E712" s="56" t="n"/>
      <c r="F712" s="27" t="n"/>
      <c r="G712" s="18">
        <f>IF(D712="Tandem",10,IF(D712="TT",22,IF(D712="Quad",25,"")))</f>
        <v/>
      </c>
      <c r="H712" s="28">
        <f>IFERROR(IF(F712*G712=0,0,F712*G712),0)</f>
        <v/>
      </c>
      <c r="I712" s="29" t="n"/>
      <c r="J712" s="57" t="n"/>
      <c r="K712" s="25" t="n"/>
      <c r="L712" s="30" t="n"/>
      <c r="M712" s="58" t="n"/>
      <c r="N712" s="30" t="n"/>
      <c r="O712" s="24">
        <f>IFERROR(IF(OR(M712="",M712=0),0,H712*VALUE(SUBSTITUTE(M712&amp;"","$",""))),0)</f>
        <v/>
      </c>
    </row>
    <row r="713" hidden="1" outlineLevel="1" ht="16" customHeight="1">
      <c r="A713" s="13" t="n"/>
      <c r="B713" s="14" t="n"/>
      <c r="C713" s="15" t="n"/>
      <c r="D713" s="56" t="n"/>
      <c r="E713" s="56" t="n"/>
      <c r="F713" s="17" t="n"/>
      <c r="G713" s="18">
        <f>IF(D713="Tandem",10,IF(D713="TT",22,IF(D713="Quad",25,"")))</f>
        <v/>
      </c>
      <c r="H713" s="19">
        <f>IFERROR(IF(F713*G713=0,0,F713*G713),0)</f>
        <v/>
      </c>
      <c r="I713" s="20" t="n"/>
      <c r="J713" s="57" t="n"/>
      <c r="K713" s="14" t="n"/>
      <c r="L713" s="22" t="n"/>
      <c r="M713" s="58" t="n"/>
      <c r="N713" s="22" t="n"/>
      <c r="O713" s="24">
        <f>IFERROR(IF(OR(M713="",M713=0),0,H713*VALUE(SUBSTITUTE(M713&amp;"","$",""))),0)</f>
        <v/>
      </c>
    </row>
    <row r="714" hidden="1" outlineLevel="1" ht="16" customHeight="1">
      <c r="A714" s="13" t="n"/>
      <c r="B714" s="25" t="n"/>
      <c r="C714" s="26" t="n"/>
      <c r="D714" s="56" t="n"/>
      <c r="E714" s="56" t="n"/>
      <c r="F714" s="27" t="n"/>
      <c r="G714" s="18">
        <f>IF(D714="Tandem",10,IF(D714="TT",22,IF(D714="Quad",25,"")))</f>
        <v/>
      </c>
      <c r="H714" s="28">
        <f>IFERROR(IF(F714*G714=0,0,F714*G714),0)</f>
        <v/>
      </c>
      <c r="I714" s="29" t="n"/>
      <c r="J714" s="57" t="n"/>
      <c r="K714" s="25" t="n"/>
      <c r="L714" s="30" t="n"/>
      <c r="M714" s="58" t="n"/>
      <c r="N714" s="30" t="n"/>
      <c r="O714" s="24">
        <f>IFERROR(IF(OR(M714="",M714=0),0,H714*VALUE(SUBSTITUTE(M714&amp;"","$",""))),0)</f>
        <v/>
      </c>
    </row>
    <row r="715" hidden="1" outlineLevel="1" ht="16" customHeight="1">
      <c r="A715" s="13" t="n"/>
      <c r="B715" s="14" t="n"/>
      <c r="C715" s="15" t="n"/>
      <c r="D715" s="56" t="n"/>
      <c r="E715" s="56" t="n"/>
      <c r="F715" s="17" t="n"/>
      <c r="G715" s="18">
        <f>IF(D715="Tandem",10,IF(D715="TT",22,IF(D715="Quad",25,"")))</f>
        <v/>
      </c>
      <c r="H715" s="19">
        <f>IFERROR(IF(F715*G715=0,0,F715*G715),0)</f>
        <v/>
      </c>
      <c r="I715" s="20" t="n"/>
      <c r="J715" s="57" t="n"/>
      <c r="K715" s="14" t="n"/>
      <c r="L715" s="22" t="n"/>
      <c r="M715" s="58" t="n"/>
      <c r="N715" s="22" t="n"/>
      <c r="O715" s="24">
        <f>IFERROR(IF(OR(M715="",M715=0),0,H715*VALUE(SUBSTITUTE(M715&amp;"","$",""))),0)</f>
        <v/>
      </c>
    </row>
    <row r="716" hidden="1" outlineLevel="1" ht="16" customHeight="1">
      <c r="A716" s="13" t="n"/>
      <c r="B716" s="25" t="n"/>
      <c r="C716" s="26" t="n"/>
      <c r="D716" s="56" t="n"/>
      <c r="E716" s="56" t="n"/>
      <c r="F716" s="27" t="n"/>
      <c r="G716" s="18">
        <f>IF(D716="Tandem",10,IF(D716="TT",22,IF(D716="Quad",25,"")))</f>
        <v/>
      </c>
      <c r="H716" s="28">
        <f>IFERROR(IF(F716*G716=0,0,F716*G716),0)</f>
        <v/>
      </c>
      <c r="I716" s="29" t="n"/>
      <c r="J716" s="57" t="n"/>
      <c r="K716" s="25" t="n"/>
      <c r="L716" s="30" t="n"/>
      <c r="M716" s="58" t="n"/>
      <c r="N716" s="30" t="n"/>
      <c r="O716" s="24">
        <f>IFERROR(IF(OR(M716="",M716=0),0,H716*VALUE(SUBSTITUTE(M716&amp;"","$",""))),0)</f>
        <v/>
      </c>
    </row>
    <row r="717" hidden="1" outlineLevel="1" ht="16" customHeight="1">
      <c r="A717" s="13" t="n"/>
      <c r="B717" s="14" t="n"/>
      <c r="C717" s="15" t="n"/>
      <c r="D717" s="56" t="n"/>
      <c r="E717" s="56" t="n"/>
      <c r="F717" s="17" t="n"/>
      <c r="G717" s="18">
        <f>IF(D717="Tandem",10,IF(D717="TT",22,IF(D717="Quad",25,"")))</f>
        <v/>
      </c>
      <c r="H717" s="19">
        <f>IFERROR(IF(F717*G717=0,0,F717*G717),0)</f>
        <v/>
      </c>
      <c r="I717" s="20" t="n"/>
      <c r="J717" s="57" t="n"/>
      <c r="K717" s="14" t="n"/>
      <c r="L717" s="22" t="n"/>
      <c r="M717" s="58" t="n"/>
      <c r="N717" s="22" t="n"/>
      <c r="O717" s="24">
        <f>IFERROR(IF(OR(M717="",M717=0),0,H717*VALUE(SUBSTITUTE(M717&amp;"","$",""))),0)</f>
        <v/>
      </c>
    </row>
    <row r="718" hidden="1" outlineLevel="1" ht="16" customHeight="1">
      <c r="A718" s="13" t="n"/>
      <c r="B718" s="25" t="n"/>
      <c r="C718" s="26" t="n"/>
      <c r="D718" s="56" t="n"/>
      <c r="E718" s="56" t="n"/>
      <c r="F718" s="27" t="n"/>
      <c r="G718" s="18">
        <f>IF(D718="Tandem",10,IF(D718="TT",22,IF(D718="Quad",25,"")))</f>
        <v/>
      </c>
      <c r="H718" s="28">
        <f>IFERROR(IF(F718*G718=0,0,F718*G718),0)</f>
        <v/>
      </c>
      <c r="I718" s="29" t="n"/>
      <c r="J718" s="57" t="n"/>
      <c r="K718" s="25" t="n"/>
      <c r="L718" s="30" t="n"/>
      <c r="M718" s="58" t="n"/>
      <c r="N718" s="30" t="n"/>
      <c r="O718" s="24">
        <f>IFERROR(IF(OR(M718="",M718=0),0,H718*VALUE(SUBSTITUTE(M718&amp;"","$",""))),0)</f>
        <v/>
      </c>
    </row>
    <row r="719" hidden="1" outlineLevel="1" ht="16" customHeight="1">
      <c r="A719" s="13" t="n"/>
      <c r="B719" s="14" t="n"/>
      <c r="C719" s="15" t="n"/>
      <c r="D719" s="56" t="n"/>
      <c r="E719" s="56" t="n"/>
      <c r="F719" s="17" t="n"/>
      <c r="G719" s="18">
        <f>IF(D719="Tandem",10,IF(D719="TT",22,IF(D719="Quad",25,"")))</f>
        <v/>
      </c>
      <c r="H719" s="19">
        <f>IFERROR(IF(F719*G719=0,0,F719*G719),0)</f>
        <v/>
      </c>
      <c r="I719" s="20" t="n"/>
      <c r="J719" s="57" t="n"/>
      <c r="K719" s="14" t="n"/>
      <c r="L719" s="22" t="n"/>
      <c r="M719" s="58" t="n"/>
      <c r="N719" s="22" t="n"/>
      <c r="O719" s="24">
        <f>IFERROR(IF(OR(M719="",M719=0),0,H719*VALUE(SUBSTITUTE(M719&amp;"","$",""))),0)</f>
        <v/>
      </c>
    </row>
    <row r="720" hidden="1" outlineLevel="1" ht="16" customHeight="1">
      <c r="A720" s="13" t="n"/>
      <c r="B720" s="25" t="n"/>
      <c r="C720" s="26" t="n"/>
      <c r="D720" s="56" t="n"/>
      <c r="E720" s="56" t="n"/>
      <c r="F720" s="27" t="n"/>
      <c r="G720" s="18">
        <f>IF(D720="Tandem",10,IF(D720="TT",22,IF(D720="Quad",25,"")))</f>
        <v/>
      </c>
      <c r="H720" s="28">
        <f>IFERROR(IF(F720*G720=0,0,F720*G720),0)</f>
        <v/>
      </c>
      <c r="I720" s="29" t="n"/>
      <c r="J720" s="57" t="n"/>
      <c r="K720" s="25" t="n"/>
      <c r="L720" s="30" t="n"/>
      <c r="M720" s="58" t="n"/>
      <c r="N720" s="30" t="n"/>
      <c r="O720" s="24">
        <f>IFERROR(IF(OR(M720="",M720=0),0,H720*VALUE(SUBSTITUTE(M720&amp;"","$",""))),0)</f>
        <v/>
      </c>
    </row>
    <row r="721" hidden="1" outlineLevel="1" ht="16" customHeight="1">
      <c r="A721" s="13" t="n"/>
      <c r="B721" s="14" t="n"/>
      <c r="C721" s="15" t="n"/>
      <c r="D721" s="56" t="n"/>
      <c r="E721" s="56" t="n"/>
      <c r="F721" s="17" t="n"/>
      <c r="G721" s="18">
        <f>IF(D721="Tandem",10,IF(D721="TT",22,IF(D721="Quad",25,"")))</f>
        <v/>
      </c>
      <c r="H721" s="19">
        <f>IFERROR(IF(F721*G721=0,0,F721*G721),0)</f>
        <v/>
      </c>
      <c r="I721" s="20" t="n"/>
      <c r="J721" s="57" t="n"/>
      <c r="K721" s="14" t="n"/>
      <c r="L721" s="22" t="n"/>
      <c r="M721" s="58" t="n"/>
      <c r="N721" s="22" t="n"/>
      <c r="O721" s="24">
        <f>IFERROR(IF(OR(M721="",M721=0),0,H721*VALUE(SUBSTITUTE(M721&amp;"","$",""))),0)</f>
        <v/>
      </c>
    </row>
    <row r="722" hidden="1" outlineLevel="1" ht="16" customHeight="1">
      <c r="A722" s="13" t="n"/>
      <c r="B722" s="25" t="n"/>
      <c r="C722" s="26" t="n"/>
      <c r="D722" s="56" t="n"/>
      <c r="E722" s="56" t="n"/>
      <c r="F722" s="27" t="n"/>
      <c r="G722" s="18">
        <f>IF(D722="Tandem",10,IF(D722="TT",22,IF(D722="Quad",25,"")))</f>
        <v/>
      </c>
      <c r="H722" s="28">
        <f>IFERROR(IF(F722*G722=0,0,F722*G722),0)</f>
        <v/>
      </c>
      <c r="I722" s="29" t="n"/>
      <c r="J722" s="57" t="n"/>
      <c r="K722" s="25" t="n"/>
      <c r="L722" s="30" t="n"/>
      <c r="M722" s="58" t="n"/>
      <c r="N722" s="30" t="n"/>
      <c r="O722" s="24">
        <f>IFERROR(IF(OR(M722="",M722=0),0,H722*VALUE(SUBSTITUTE(M722&amp;"","$",""))),0)</f>
        <v/>
      </c>
    </row>
    <row r="723" hidden="1" outlineLevel="1" ht="16" customHeight="1">
      <c r="A723" s="13" t="n"/>
      <c r="B723" s="14" t="n"/>
      <c r="C723" s="15" t="n"/>
      <c r="D723" s="56" t="n"/>
      <c r="E723" s="56" t="n"/>
      <c r="F723" s="17" t="n"/>
      <c r="G723" s="18">
        <f>IF(D723="Tandem",10,IF(D723="TT",22,IF(D723="Quad",25,"")))</f>
        <v/>
      </c>
      <c r="H723" s="19">
        <f>IFERROR(IF(F723*G723=0,0,F723*G723),0)</f>
        <v/>
      </c>
      <c r="I723" s="20" t="n"/>
      <c r="J723" s="57" t="n"/>
      <c r="K723" s="14" t="n"/>
      <c r="L723" s="22" t="n"/>
      <c r="M723" s="58" t="n"/>
      <c r="N723" s="22" t="n"/>
      <c r="O723" s="24">
        <f>IFERROR(IF(OR(M723="",M723=0),0,H723*VALUE(SUBSTITUTE(M723&amp;"","$",""))),0)</f>
        <v/>
      </c>
    </row>
    <row r="724" hidden="1" outlineLevel="1" ht="16" customHeight="1">
      <c r="A724" s="13" t="n"/>
      <c r="B724" s="25" t="n"/>
      <c r="C724" s="26" t="n"/>
      <c r="D724" s="56" t="n"/>
      <c r="E724" s="56" t="n"/>
      <c r="F724" s="27" t="n"/>
      <c r="G724" s="18">
        <f>IF(D724="Tandem",10,IF(D724="TT",22,IF(D724="Quad",25,"")))</f>
        <v/>
      </c>
      <c r="H724" s="28">
        <f>IFERROR(IF(F724*G724=0,0,F724*G724),0)</f>
        <v/>
      </c>
      <c r="I724" s="29" t="n"/>
      <c r="J724" s="57" t="n"/>
      <c r="K724" s="25" t="n"/>
      <c r="L724" s="30" t="n"/>
      <c r="M724" s="58" t="n"/>
      <c r="N724" s="30" t="n"/>
      <c r="O724" s="24">
        <f>IFERROR(IF(OR(M724="",M724=0),0,H724*VALUE(SUBSTITUTE(M724&amp;"","$",""))),0)</f>
        <v/>
      </c>
    </row>
    <row r="725" hidden="1" outlineLevel="1" ht="16" customHeight="1">
      <c r="A725" s="13" t="n"/>
      <c r="B725" s="14" t="n"/>
      <c r="C725" s="15" t="n"/>
      <c r="D725" s="56" t="n"/>
      <c r="E725" s="56" t="n"/>
      <c r="F725" s="17" t="n"/>
      <c r="G725" s="18">
        <f>IF(D725="Tandem",10,IF(D725="TT",22,IF(D725="Quad",25,"")))</f>
        <v/>
      </c>
      <c r="H725" s="19">
        <f>IFERROR(IF(F725*G725=0,0,F725*G725),0)</f>
        <v/>
      </c>
      <c r="I725" s="20" t="n"/>
      <c r="J725" s="57" t="n"/>
      <c r="K725" s="14" t="n"/>
      <c r="L725" s="22" t="n"/>
      <c r="M725" s="58" t="n"/>
      <c r="N725" s="22" t="n"/>
      <c r="O725" s="24">
        <f>IFERROR(IF(OR(M725="",M725=0),0,H725*VALUE(SUBSTITUTE(M725&amp;"","$",""))),0)</f>
        <v/>
      </c>
    </row>
    <row r="726" hidden="1" outlineLevel="1" ht="16" customHeight="1">
      <c r="A726" s="13" t="n"/>
      <c r="B726" s="25" t="n"/>
      <c r="C726" s="26" t="n"/>
      <c r="D726" s="56" t="n"/>
      <c r="E726" s="56" t="n"/>
      <c r="F726" s="27" t="n"/>
      <c r="G726" s="18">
        <f>IF(D726="Tandem",10,IF(D726="TT",22,IF(D726="Quad",25,"")))</f>
        <v/>
      </c>
      <c r="H726" s="28">
        <f>IFERROR(IF(F726*G726=0,0,F726*G726),0)</f>
        <v/>
      </c>
      <c r="I726" s="29" t="n"/>
      <c r="J726" s="57" t="n"/>
      <c r="K726" s="25" t="n"/>
      <c r="L726" s="30" t="n"/>
      <c r="M726" s="58" t="n"/>
      <c r="N726" s="30" t="n"/>
      <c r="O726" s="24">
        <f>IFERROR(IF(OR(M726="",M726=0),0,H726*VALUE(SUBSTITUTE(M726&amp;"","$",""))),0)</f>
        <v/>
      </c>
    </row>
    <row r="727" hidden="1" outlineLevel="1" ht="16" customHeight="1">
      <c r="A727" s="13" t="n"/>
      <c r="B727" s="14" t="n"/>
      <c r="C727" s="15" t="n"/>
      <c r="D727" s="56" t="n"/>
      <c r="E727" s="56" t="n"/>
      <c r="F727" s="17" t="n"/>
      <c r="G727" s="18">
        <f>IF(D727="Tandem",10,IF(D727="TT",22,IF(D727="Quad",25,"")))</f>
        <v/>
      </c>
      <c r="H727" s="19">
        <f>IFERROR(IF(F727*G727=0,0,F727*G727),0)</f>
        <v/>
      </c>
      <c r="I727" s="20" t="n"/>
      <c r="J727" s="57" t="n"/>
      <c r="K727" s="14" t="n"/>
      <c r="L727" s="22" t="n"/>
      <c r="M727" s="58" t="n"/>
      <c r="N727" s="22" t="n"/>
      <c r="O727" s="24">
        <f>IFERROR(IF(OR(M727="",M727=0),0,H727*VALUE(SUBSTITUTE(M727&amp;"","$",""))),0)</f>
        <v/>
      </c>
    </row>
    <row r="728" hidden="1" outlineLevel="1" ht="16" customHeight="1">
      <c r="A728" s="13" t="n"/>
      <c r="B728" s="25" t="n"/>
      <c r="C728" s="26" t="n"/>
      <c r="D728" s="56" t="n"/>
      <c r="E728" s="56" t="n"/>
      <c r="F728" s="27" t="n"/>
      <c r="G728" s="18">
        <f>IF(D728="Tandem",10,IF(D728="TT",22,IF(D728="Quad",25,"")))</f>
        <v/>
      </c>
      <c r="H728" s="28">
        <f>IFERROR(IF(F728*G728=0,0,F728*G728),0)</f>
        <v/>
      </c>
      <c r="I728" s="29" t="n"/>
      <c r="J728" s="57" t="n"/>
      <c r="K728" s="25" t="n"/>
      <c r="L728" s="30" t="n"/>
      <c r="M728" s="58" t="n"/>
      <c r="N728" s="30" t="n"/>
      <c r="O728" s="24">
        <f>IFERROR(IF(OR(M728="",M728=0),0,H728*VALUE(SUBSTITUTE(M728&amp;"","$",""))),0)</f>
        <v/>
      </c>
    </row>
    <row r="729" hidden="1" outlineLevel="1" ht="16" customHeight="1">
      <c r="A729" s="13" t="n"/>
      <c r="B729" s="14" t="n"/>
      <c r="C729" s="15" t="n"/>
      <c r="D729" s="56" t="n"/>
      <c r="E729" s="56" t="n"/>
      <c r="F729" s="17" t="n"/>
      <c r="G729" s="18">
        <f>IF(D729="Tandem",10,IF(D729="TT",22,IF(D729="Quad",25,"")))</f>
        <v/>
      </c>
      <c r="H729" s="19">
        <f>IFERROR(IF(F729*G729=0,0,F729*G729),0)</f>
        <v/>
      </c>
      <c r="I729" s="20" t="n"/>
      <c r="J729" s="57" t="n"/>
      <c r="K729" s="14" t="n"/>
      <c r="L729" s="22" t="n"/>
      <c r="M729" s="58" t="n"/>
      <c r="N729" s="22" t="n"/>
      <c r="O729" s="24">
        <f>IFERROR(IF(OR(M729="",M729=0),0,H729*VALUE(SUBSTITUTE(M729&amp;"","$",""))),0)</f>
        <v/>
      </c>
    </row>
    <row r="730" hidden="1" outlineLevel="1" ht="16" customHeight="1">
      <c r="A730" s="13" t="n"/>
      <c r="B730" s="25" t="n"/>
      <c r="C730" s="26" t="n"/>
      <c r="D730" s="56" t="n"/>
      <c r="E730" s="56" t="n"/>
      <c r="F730" s="27" t="n"/>
      <c r="G730" s="18">
        <f>IF(D730="Tandem",10,IF(D730="TT",22,IF(D730="Quad",25,"")))</f>
        <v/>
      </c>
      <c r="H730" s="28">
        <f>IFERROR(IF(F730*G730=0,0,F730*G730),0)</f>
        <v/>
      </c>
      <c r="I730" s="29" t="n"/>
      <c r="J730" s="57" t="n"/>
      <c r="K730" s="25" t="n"/>
      <c r="L730" s="30" t="n"/>
      <c r="M730" s="58" t="n"/>
      <c r="N730" s="30" t="n"/>
      <c r="O730" s="24">
        <f>IFERROR(IF(OR(M730="",M730=0),0,H730*VALUE(SUBSTITUTE(M730&amp;"","$",""))),0)</f>
        <v/>
      </c>
    </row>
    <row r="731" hidden="1" outlineLevel="1" ht="16" customHeight="1">
      <c r="A731" s="13" t="n"/>
      <c r="B731" s="14" t="n"/>
      <c r="C731" s="15" t="n"/>
      <c r="D731" s="56" t="n"/>
      <c r="E731" s="56" t="n"/>
      <c r="F731" s="17" t="n"/>
      <c r="G731" s="18">
        <f>IF(D731="Tandem",10,IF(D731="TT",22,IF(D731="Quad",25,"")))</f>
        <v/>
      </c>
      <c r="H731" s="19">
        <f>IFERROR(IF(F731*G731=0,0,F731*G731),0)</f>
        <v/>
      </c>
      <c r="I731" s="20" t="n"/>
      <c r="J731" s="57" t="n"/>
      <c r="K731" s="14" t="n"/>
      <c r="L731" s="22" t="n"/>
      <c r="M731" s="58" t="n"/>
      <c r="N731" s="22" t="n"/>
      <c r="O731" s="24">
        <f>IFERROR(IF(OR(M731="",M731=0),0,H731*VALUE(SUBSTITUTE(M731&amp;"","$",""))),0)</f>
        <v/>
      </c>
    </row>
    <row r="732" hidden="1" outlineLevel="1" ht="16" customHeight="1">
      <c r="A732" s="13" t="n"/>
      <c r="B732" s="25" t="n"/>
      <c r="C732" s="26" t="n"/>
      <c r="D732" s="56" t="n"/>
      <c r="E732" s="56" t="n"/>
      <c r="F732" s="27" t="n"/>
      <c r="G732" s="18">
        <f>IF(D732="Tandem",10,IF(D732="TT",22,IF(D732="Quad",25,"")))</f>
        <v/>
      </c>
      <c r="H732" s="28">
        <f>IFERROR(IF(F732*G732=0,0,F732*G732),0)</f>
        <v/>
      </c>
      <c r="I732" s="29" t="n"/>
      <c r="J732" s="57" t="n"/>
      <c r="K732" s="25" t="n"/>
      <c r="L732" s="30" t="n"/>
      <c r="M732" s="58" t="n"/>
      <c r="N732" s="30" t="n"/>
      <c r="O732" s="24">
        <f>IFERROR(IF(OR(M732="",M732=0),0,H732*VALUE(SUBSTITUTE(M732&amp;"","$",""))),0)</f>
        <v/>
      </c>
    </row>
    <row r="733" hidden="1" outlineLevel="1" ht="20" customHeight="1">
      <c r="A733" s="59" t="inlineStr">
        <is>
          <t>Daily Notes:</t>
        </is>
      </c>
      <c r="B733" s="54" t="n"/>
      <c r="C733" s="54" t="n"/>
      <c r="D733" s="54" t="n"/>
      <c r="E733" s="54" t="n"/>
      <c r="F733" s="54" t="n"/>
      <c r="G733" s="54" t="n"/>
      <c r="H733" s="54" t="n"/>
      <c r="I733" s="54" t="n"/>
      <c r="J733" s="54" t="n"/>
      <c r="K733" s="54" t="n"/>
      <c r="L733" s="54" t="n"/>
      <c r="M733" s="54" t="n"/>
      <c r="N733" s="50" t="n"/>
      <c r="O733" s="60" t="n"/>
    </row>
    <row r="734" hidden="1" outlineLevel="1" ht="18" customHeight="1">
      <c r="A734" s="32" t="inlineStr">
        <is>
          <t>DAILY TOTAL</t>
        </is>
      </c>
      <c r="B734" s="54" t="n"/>
      <c r="C734" s="54" t="n"/>
      <c r="D734" s="54" t="n"/>
      <c r="E734" s="54" t="n"/>
      <c r="F734" s="54" t="n"/>
      <c r="G734" s="50" t="n"/>
      <c r="H734" s="34">
        <f>SUM(H703:H732)</f>
        <v/>
      </c>
      <c r="I734" s="35">
        <f>SUM(I703:I732)</f>
        <v/>
      </c>
      <c r="J734" s="61" t="n"/>
      <c r="K734" s="61" t="n"/>
      <c r="L734" s="61" t="n"/>
      <c r="M734" s="36">
        <f>SUM(O703:O732)</f>
        <v/>
      </c>
      <c r="N734" s="61" t="n"/>
      <c r="O734" s="62" t="n"/>
    </row>
    <row r="735" hidden="1" outlineLevel="1" ht="18" customHeight="1">
      <c r="A735" s="2" t="inlineStr">
        <is>
          <t>▶ RUNNING TOTAL</t>
        </is>
      </c>
      <c r="B735" s="54" t="n"/>
      <c r="C735" s="54" t="n"/>
      <c r="D735" s="54" t="n"/>
      <c r="E735" s="54" t="n"/>
      <c r="F735" s="54" t="n"/>
      <c r="G735" s="50" t="n"/>
      <c r="H735" s="37">
        <f>H50+H86+H122+H158+H194+H230+H266+H302+H338+H374+H410+H446+H482+H518+H554+H590+H626+H662+H698+H734</f>
        <v/>
      </c>
      <c r="I735" s="63" t="n"/>
      <c r="J735" s="63" t="n"/>
      <c r="K735" s="63" t="n"/>
      <c r="L735" s="63" t="n"/>
      <c r="M735" s="38">
        <f>M50+M86+M122+M158+M194+M230+M266+M302+M338+M374+M410+M446+M482+M518+M554+M590+M626+M662+M698+M734</f>
        <v/>
      </c>
      <c r="N735" s="63" t="n"/>
      <c r="O735" s="64" t="n"/>
    </row>
    <row r="736" hidden="1" outlineLevel="1" ht="8" customHeight="1"/>
    <row r="737" ht="22" customHeight="1">
      <c r="A737" s="55" t="inlineStr">
        <is>
          <t>DAY 21</t>
        </is>
      </c>
      <c r="B737" s="54" t="n"/>
      <c r="C737" s="54" t="n"/>
      <c r="D737" s="54" t="n"/>
      <c r="E737" s="54" t="n"/>
      <c r="F737" s="54" t="n"/>
      <c r="G737" s="54" t="n"/>
      <c r="H737" s="54" t="n"/>
      <c r="I737" s="54" t="n"/>
      <c r="J737" s="54" t="n"/>
      <c r="K737" s="54" t="n"/>
      <c r="L737" s="54" t="n"/>
      <c r="M737" s="54" t="n"/>
      <c r="N737" s="50" t="n"/>
    </row>
    <row r="738" hidden="1" outlineLevel="1" ht="28" customHeight="1">
      <c r="A738" s="12" t="inlineStr">
        <is>
          <t>Date</t>
        </is>
      </c>
      <c r="B738" s="12" t="inlineStr">
        <is>
          <t>Cartage Company</t>
        </is>
      </c>
      <c r="C738" s="12" t="inlineStr">
        <is>
          <t>Truck Rego</t>
        </is>
      </c>
      <c r="D738" s="12" t="inlineStr">
        <is>
          <t>Truck Type</t>
        </is>
      </c>
      <c r="E738" s="12" t="inlineStr">
        <is>
          <t>Exp / Imp</t>
        </is>
      </c>
      <c r="F738" s="12" t="inlineStr">
        <is>
          <t>Loads</t>
        </is>
      </c>
      <c r="G738" s="12" t="inlineStr">
        <is>
          <t>m³ / Load</t>
        </is>
      </c>
      <c r="H738" s="12" t="inlineStr">
        <is>
          <t>Total m³</t>
        </is>
      </c>
      <c r="I738" s="12" t="inlineStr">
        <is>
          <t>Hours</t>
        </is>
      </c>
      <c r="J738" s="12" t="inlineStr">
        <is>
          <t>Material</t>
        </is>
      </c>
      <c r="K738" s="12" t="inlineStr">
        <is>
          <t>Tip Site</t>
        </is>
      </c>
      <c r="L738" s="12" t="inlineStr">
        <is>
          <t>Docket #</t>
        </is>
      </c>
      <c r="M738" s="12" t="inlineStr">
        <is>
          <t>Rate Paid ($/m³)</t>
        </is>
      </c>
      <c r="N738" s="12" t="inlineStr">
        <is>
          <t>Invoice #</t>
        </is>
      </c>
    </row>
    <row r="739" hidden="1" outlineLevel="1" ht="16" customHeight="1">
      <c r="A739" s="13" t="n"/>
      <c r="B739" s="14" t="n"/>
      <c r="C739" s="15" t="n"/>
      <c r="D739" s="56" t="n"/>
      <c r="E739" s="56" t="n"/>
      <c r="F739" s="17" t="n"/>
      <c r="G739" s="18">
        <f>IF(D739="Tandem",10,IF(D739="TT",22,IF(D739="Quad",25,"")))</f>
        <v/>
      </c>
      <c r="H739" s="19">
        <f>IFERROR(IF(F739*G739=0,0,F739*G739),0)</f>
        <v/>
      </c>
      <c r="I739" s="20" t="n"/>
      <c r="J739" s="57" t="n"/>
      <c r="K739" s="14" t="n"/>
      <c r="L739" s="22" t="n"/>
      <c r="M739" s="58" t="n"/>
      <c r="N739" s="22" t="n"/>
      <c r="O739" s="24">
        <f>IFERROR(IF(OR(M739="",M739=0),0,H739*VALUE(SUBSTITUTE(M739&amp;"","$",""))),0)</f>
        <v/>
      </c>
    </row>
    <row r="740" hidden="1" outlineLevel="1" ht="16" customHeight="1">
      <c r="A740" s="13" t="n"/>
      <c r="B740" s="25" t="n"/>
      <c r="C740" s="26" t="n"/>
      <c r="D740" s="56" t="n"/>
      <c r="E740" s="56" t="n"/>
      <c r="F740" s="27" t="n"/>
      <c r="G740" s="18">
        <f>IF(D740="Tandem",10,IF(D740="TT",22,IF(D740="Quad",25,"")))</f>
        <v/>
      </c>
      <c r="H740" s="28">
        <f>IFERROR(IF(F740*G740=0,0,F740*G740),0)</f>
        <v/>
      </c>
      <c r="I740" s="29" t="n"/>
      <c r="J740" s="57" t="n"/>
      <c r="K740" s="25" t="n"/>
      <c r="L740" s="30" t="n"/>
      <c r="M740" s="58" t="n"/>
      <c r="N740" s="30" t="n"/>
      <c r="O740" s="24">
        <f>IFERROR(IF(OR(M740="",M740=0),0,H740*VALUE(SUBSTITUTE(M740&amp;"","$",""))),0)</f>
        <v/>
      </c>
    </row>
    <row r="741" hidden="1" outlineLevel="1" ht="16" customHeight="1">
      <c r="A741" s="13" t="n"/>
      <c r="B741" s="14" t="n"/>
      <c r="C741" s="15" t="n"/>
      <c r="D741" s="56" t="n"/>
      <c r="E741" s="56" t="n"/>
      <c r="F741" s="17" t="n"/>
      <c r="G741" s="18">
        <f>IF(D741="Tandem",10,IF(D741="TT",22,IF(D741="Quad",25,"")))</f>
        <v/>
      </c>
      <c r="H741" s="19">
        <f>IFERROR(IF(F741*G741=0,0,F741*G741),0)</f>
        <v/>
      </c>
      <c r="I741" s="20" t="n"/>
      <c r="J741" s="57" t="n"/>
      <c r="K741" s="14" t="n"/>
      <c r="L741" s="22" t="n"/>
      <c r="M741" s="58" t="n"/>
      <c r="N741" s="22" t="n"/>
      <c r="O741" s="24">
        <f>IFERROR(IF(OR(M741="",M741=0),0,H741*VALUE(SUBSTITUTE(M741&amp;"","$",""))),0)</f>
        <v/>
      </c>
    </row>
    <row r="742" hidden="1" outlineLevel="1" ht="16" customHeight="1">
      <c r="A742" s="13" t="n"/>
      <c r="B742" s="25" t="n"/>
      <c r="C742" s="26" t="n"/>
      <c r="D742" s="56" t="n"/>
      <c r="E742" s="56" t="n"/>
      <c r="F742" s="27" t="n"/>
      <c r="G742" s="18">
        <f>IF(D742="Tandem",10,IF(D742="TT",22,IF(D742="Quad",25,"")))</f>
        <v/>
      </c>
      <c r="H742" s="28">
        <f>IFERROR(IF(F742*G742=0,0,F742*G742),0)</f>
        <v/>
      </c>
      <c r="I742" s="29" t="n"/>
      <c r="J742" s="57" t="n"/>
      <c r="K742" s="25" t="n"/>
      <c r="L742" s="30" t="n"/>
      <c r="M742" s="58" t="n"/>
      <c r="N742" s="30" t="n"/>
      <c r="O742" s="24">
        <f>IFERROR(IF(OR(M742="",M742=0),0,H742*VALUE(SUBSTITUTE(M742&amp;"","$",""))),0)</f>
        <v/>
      </c>
    </row>
    <row r="743" hidden="1" outlineLevel="1" ht="16" customHeight="1">
      <c r="A743" s="13" t="n"/>
      <c r="B743" s="14" t="n"/>
      <c r="C743" s="15" t="n"/>
      <c r="D743" s="56" t="n"/>
      <c r="E743" s="56" t="n"/>
      <c r="F743" s="17" t="n"/>
      <c r="G743" s="18">
        <f>IF(D743="Tandem",10,IF(D743="TT",22,IF(D743="Quad",25,"")))</f>
        <v/>
      </c>
      <c r="H743" s="19">
        <f>IFERROR(IF(F743*G743=0,0,F743*G743),0)</f>
        <v/>
      </c>
      <c r="I743" s="20" t="n"/>
      <c r="J743" s="57" t="n"/>
      <c r="K743" s="14" t="n"/>
      <c r="L743" s="22" t="n"/>
      <c r="M743" s="58" t="n"/>
      <c r="N743" s="22" t="n"/>
      <c r="O743" s="24">
        <f>IFERROR(IF(OR(M743="",M743=0),0,H743*VALUE(SUBSTITUTE(M743&amp;"","$",""))),0)</f>
        <v/>
      </c>
    </row>
    <row r="744" hidden="1" outlineLevel="1" ht="16" customHeight="1">
      <c r="A744" s="13" t="n"/>
      <c r="B744" s="25" t="n"/>
      <c r="C744" s="26" t="n"/>
      <c r="D744" s="56" t="n"/>
      <c r="E744" s="56" t="n"/>
      <c r="F744" s="27" t="n"/>
      <c r="G744" s="18">
        <f>IF(D744="Tandem",10,IF(D744="TT",22,IF(D744="Quad",25,"")))</f>
        <v/>
      </c>
      <c r="H744" s="28">
        <f>IFERROR(IF(F744*G744=0,0,F744*G744),0)</f>
        <v/>
      </c>
      <c r="I744" s="29" t="n"/>
      <c r="J744" s="57" t="n"/>
      <c r="K744" s="25" t="n"/>
      <c r="L744" s="30" t="n"/>
      <c r="M744" s="58" t="n"/>
      <c r="N744" s="30" t="n"/>
      <c r="O744" s="24">
        <f>IFERROR(IF(OR(M744="",M744=0),0,H744*VALUE(SUBSTITUTE(M744&amp;"","$",""))),0)</f>
        <v/>
      </c>
    </row>
    <row r="745" hidden="1" outlineLevel="1" ht="16" customHeight="1">
      <c r="A745" s="13" t="n"/>
      <c r="B745" s="14" t="n"/>
      <c r="C745" s="15" t="n"/>
      <c r="D745" s="56" t="n"/>
      <c r="E745" s="56" t="n"/>
      <c r="F745" s="17" t="n"/>
      <c r="G745" s="18">
        <f>IF(D745="Tandem",10,IF(D745="TT",22,IF(D745="Quad",25,"")))</f>
        <v/>
      </c>
      <c r="H745" s="19">
        <f>IFERROR(IF(F745*G745=0,0,F745*G745),0)</f>
        <v/>
      </c>
      <c r="I745" s="20" t="n"/>
      <c r="J745" s="57" t="n"/>
      <c r="K745" s="14" t="n"/>
      <c r="L745" s="22" t="n"/>
      <c r="M745" s="58" t="n"/>
      <c r="N745" s="22" t="n"/>
      <c r="O745" s="24">
        <f>IFERROR(IF(OR(M745="",M745=0),0,H745*VALUE(SUBSTITUTE(M745&amp;"","$",""))),0)</f>
        <v/>
      </c>
    </row>
    <row r="746" hidden="1" outlineLevel="1" ht="16" customHeight="1">
      <c r="A746" s="13" t="n"/>
      <c r="B746" s="25" t="n"/>
      <c r="C746" s="26" t="n"/>
      <c r="D746" s="56" t="n"/>
      <c r="E746" s="56" t="n"/>
      <c r="F746" s="27" t="n"/>
      <c r="G746" s="18">
        <f>IF(D746="Tandem",10,IF(D746="TT",22,IF(D746="Quad",25,"")))</f>
        <v/>
      </c>
      <c r="H746" s="28">
        <f>IFERROR(IF(F746*G746=0,0,F746*G746),0)</f>
        <v/>
      </c>
      <c r="I746" s="29" t="n"/>
      <c r="J746" s="57" t="n"/>
      <c r="K746" s="25" t="n"/>
      <c r="L746" s="30" t="n"/>
      <c r="M746" s="58" t="n"/>
      <c r="N746" s="30" t="n"/>
      <c r="O746" s="24">
        <f>IFERROR(IF(OR(M746="",M746=0),0,H746*VALUE(SUBSTITUTE(M746&amp;"","$",""))),0)</f>
        <v/>
      </c>
    </row>
    <row r="747" hidden="1" outlineLevel="1" ht="16" customHeight="1">
      <c r="A747" s="13" t="n"/>
      <c r="B747" s="14" t="n"/>
      <c r="C747" s="15" t="n"/>
      <c r="D747" s="56" t="n"/>
      <c r="E747" s="56" t="n"/>
      <c r="F747" s="17" t="n"/>
      <c r="G747" s="18">
        <f>IF(D747="Tandem",10,IF(D747="TT",22,IF(D747="Quad",25,"")))</f>
        <v/>
      </c>
      <c r="H747" s="19">
        <f>IFERROR(IF(F747*G747=0,0,F747*G747),0)</f>
        <v/>
      </c>
      <c r="I747" s="20" t="n"/>
      <c r="J747" s="57" t="n"/>
      <c r="K747" s="14" t="n"/>
      <c r="L747" s="22" t="n"/>
      <c r="M747" s="58" t="n"/>
      <c r="N747" s="22" t="n"/>
      <c r="O747" s="24">
        <f>IFERROR(IF(OR(M747="",M747=0),0,H747*VALUE(SUBSTITUTE(M747&amp;"","$",""))),0)</f>
        <v/>
      </c>
    </row>
    <row r="748" hidden="1" outlineLevel="1" ht="16" customHeight="1">
      <c r="A748" s="13" t="n"/>
      <c r="B748" s="25" t="n"/>
      <c r="C748" s="26" t="n"/>
      <c r="D748" s="56" t="n"/>
      <c r="E748" s="56" t="n"/>
      <c r="F748" s="27" t="n"/>
      <c r="G748" s="18">
        <f>IF(D748="Tandem",10,IF(D748="TT",22,IF(D748="Quad",25,"")))</f>
        <v/>
      </c>
      <c r="H748" s="28">
        <f>IFERROR(IF(F748*G748=0,0,F748*G748),0)</f>
        <v/>
      </c>
      <c r="I748" s="29" t="n"/>
      <c r="J748" s="57" t="n"/>
      <c r="K748" s="25" t="n"/>
      <c r="L748" s="30" t="n"/>
      <c r="M748" s="58" t="n"/>
      <c r="N748" s="30" t="n"/>
      <c r="O748" s="24">
        <f>IFERROR(IF(OR(M748="",M748=0),0,H748*VALUE(SUBSTITUTE(M748&amp;"","$",""))),0)</f>
        <v/>
      </c>
    </row>
    <row r="749" hidden="1" outlineLevel="1" ht="16" customHeight="1">
      <c r="A749" s="13" t="n"/>
      <c r="B749" s="14" t="n"/>
      <c r="C749" s="15" t="n"/>
      <c r="D749" s="56" t="n"/>
      <c r="E749" s="56" t="n"/>
      <c r="F749" s="17" t="n"/>
      <c r="G749" s="18">
        <f>IF(D749="Tandem",10,IF(D749="TT",22,IF(D749="Quad",25,"")))</f>
        <v/>
      </c>
      <c r="H749" s="19">
        <f>IFERROR(IF(F749*G749=0,0,F749*G749),0)</f>
        <v/>
      </c>
      <c r="I749" s="20" t="n"/>
      <c r="J749" s="57" t="n"/>
      <c r="K749" s="14" t="n"/>
      <c r="L749" s="22" t="n"/>
      <c r="M749" s="58" t="n"/>
      <c r="N749" s="22" t="n"/>
      <c r="O749" s="24">
        <f>IFERROR(IF(OR(M749="",M749=0),0,H749*VALUE(SUBSTITUTE(M749&amp;"","$",""))),0)</f>
        <v/>
      </c>
    </row>
    <row r="750" hidden="1" outlineLevel="1" ht="16" customHeight="1">
      <c r="A750" s="13" t="n"/>
      <c r="B750" s="25" t="n"/>
      <c r="C750" s="26" t="n"/>
      <c r="D750" s="56" t="n"/>
      <c r="E750" s="56" t="n"/>
      <c r="F750" s="27" t="n"/>
      <c r="G750" s="18">
        <f>IF(D750="Tandem",10,IF(D750="TT",22,IF(D750="Quad",25,"")))</f>
        <v/>
      </c>
      <c r="H750" s="28">
        <f>IFERROR(IF(F750*G750=0,0,F750*G750),0)</f>
        <v/>
      </c>
      <c r="I750" s="29" t="n"/>
      <c r="J750" s="57" t="n"/>
      <c r="K750" s="25" t="n"/>
      <c r="L750" s="30" t="n"/>
      <c r="M750" s="58" t="n"/>
      <c r="N750" s="30" t="n"/>
      <c r="O750" s="24">
        <f>IFERROR(IF(OR(M750="",M750=0),0,H750*VALUE(SUBSTITUTE(M750&amp;"","$",""))),0)</f>
        <v/>
      </c>
    </row>
    <row r="751" hidden="1" outlineLevel="1" ht="16" customHeight="1">
      <c r="A751" s="13" t="n"/>
      <c r="B751" s="14" t="n"/>
      <c r="C751" s="15" t="n"/>
      <c r="D751" s="56" t="n"/>
      <c r="E751" s="56" t="n"/>
      <c r="F751" s="17" t="n"/>
      <c r="G751" s="18">
        <f>IF(D751="Tandem",10,IF(D751="TT",22,IF(D751="Quad",25,"")))</f>
        <v/>
      </c>
      <c r="H751" s="19">
        <f>IFERROR(IF(F751*G751=0,0,F751*G751),0)</f>
        <v/>
      </c>
      <c r="I751" s="20" t="n"/>
      <c r="J751" s="57" t="n"/>
      <c r="K751" s="14" t="n"/>
      <c r="L751" s="22" t="n"/>
      <c r="M751" s="58" t="n"/>
      <c r="N751" s="22" t="n"/>
      <c r="O751" s="24">
        <f>IFERROR(IF(OR(M751="",M751=0),0,H751*VALUE(SUBSTITUTE(M751&amp;"","$",""))),0)</f>
        <v/>
      </c>
    </row>
    <row r="752" hidden="1" outlineLevel="1" ht="16" customHeight="1">
      <c r="A752" s="13" t="n"/>
      <c r="B752" s="25" t="n"/>
      <c r="C752" s="26" t="n"/>
      <c r="D752" s="56" t="n"/>
      <c r="E752" s="56" t="n"/>
      <c r="F752" s="27" t="n"/>
      <c r="G752" s="18">
        <f>IF(D752="Tandem",10,IF(D752="TT",22,IF(D752="Quad",25,"")))</f>
        <v/>
      </c>
      <c r="H752" s="28">
        <f>IFERROR(IF(F752*G752=0,0,F752*G752),0)</f>
        <v/>
      </c>
      <c r="I752" s="29" t="n"/>
      <c r="J752" s="57" t="n"/>
      <c r="K752" s="25" t="n"/>
      <c r="L752" s="30" t="n"/>
      <c r="M752" s="58" t="n"/>
      <c r="N752" s="30" t="n"/>
      <c r="O752" s="24">
        <f>IFERROR(IF(OR(M752="",M752=0),0,H752*VALUE(SUBSTITUTE(M752&amp;"","$",""))),0)</f>
        <v/>
      </c>
    </row>
    <row r="753" hidden="1" outlineLevel="1" ht="16" customHeight="1">
      <c r="A753" s="13" t="n"/>
      <c r="B753" s="14" t="n"/>
      <c r="C753" s="15" t="n"/>
      <c r="D753" s="56" t="n"/>
      <c r="E753" s="56" t="n"/>
      <c r="F753" s="17" t="n"/>
      <c r="G753" s="18">
        <f>IF(D753="Tandem",10,IF(D753="TT",22,IF(D753="Quad",25,"")))</f>
        <v/>
      </c>
      <c r="H753" s="19">
        <f>IFERROR(IF(F753*G753=0,0,F753*G753),0)</f>
        <v/>
      </c>
      <c r="I753" s="20" t="n"/>
      <c r="J753" s="57" t="n"/>
      <c r="K753" s="14" t="n"/>
      <c r="L753" s="22" t="n"/>
      <c r="M753" s="58" t="n"/>
      <c r="N753" s="22" t="n"/>
      <c r="O753" s="24">
        <f>IFERROR(IF(OR(M753="",M753=0),0,H753*VALUE(SUBSTITUTE(M753&amp;"","$",""))),0)</f>
        <v/>
      </c>
    </row>
    <row r="754" hidden="1" outlineLevel="1" ht="16" customHeight="1">
      <c r="A754" s="13" t="n"/>
      <c r="B754" s="25" t="n"/>
      <c r="C754" s="26" t="n"/>
      <c r="D754" s="56" t="n"/>
      <c r="E754" s="56" t="n"/>
      <c r="F754" s="27" t="n"/>
      <c r="G754" s="18">
        <f>IF(D754="Tandem",10,IF(D754="TT",22,IF(D754="Quad",25,"")))</f>
        <v/>
      </c>
      <c r="H754" s="28">
        <f>IFERROR(IF(F754*G754=0,0,F754*G754),0)</f>
        <v/>
      </c>
      <c r="I754" s="29" t="n"/>
      <c r="J754" s="57" t="n"/>
      <c r="K754" s="25" t="n"/>
      <c r="L754" s="30" t="n"/>
      <c r="M754" s="58" t="n"/>
      <c r="N754" s="30" t="n"/>
      <c r="O754" s="24">
        <f>IFERROR(IF(OR(M754="",M754=0),0,H754*VALUE(SUBSTITUTE(M754&amp;"","$",""))),0)</f>
        <v/>
      </c>
    </row>
    <row r="755" hidden="1" outlineLevel="1" ht="16" customHeight="1">
      <c r="A755" s="13" t="n"/>
      <c r="B755" s="14" t="n"/>
      <c r="C755" s="15" t="n"/>
      <c r="D755" s="56" t="n"/>
      <c r="E755" s="56" t="n"/>
      <c r="F755" s="17" t="n"/>
      <c r="G755" s="18">
        <f>IF(D755="Tandem",10,IF(D755="TT",22,IF(D755="Quad",25,"")))</f>
        <v/>
      </c>
      <c r="H755" s="19">
        <f>IFERROR(IF(F755*G755=0,0,F755*G755),0)</f>
        <v/>
      </c>
      <c r="I755" s="20" t="n"/>
      <c r="J755" s="57" t="n"/>
      <c r="K755" s="14" t="n"/>
      <c r="L755" s="22" t="n"/>
      <c r="M755" s="58" t="n"/>
      <c r="N755" s="22" t="n"/>
      <c r="O755" s="24">
        <f>IFERROR(IF(OR(M755="",M755=0),0,H755*VALUE(SUBSTITUTE(M755&amp;"","$",""))),0)</f>
        <v/>
      </c>
    </row>
    <row r="756" hidden="1" outlineLevel="1" ht="16" customHeight="1">
      <c r="A756" s="13" t="n"/>
      <c r="B756" s="25" t="n"/>
      <c r="C756" s="26" t="n"/>
      <c r="D756" s="56" t="n"/>
      <c r="E756" s="56" t="n"/>
      <c r="F756" s="27" t="n"/>
      <c r="G756" s="18">
        <f>IF(D756="Tandem",10,IF(D756="TT",22,IF(D756="Quad",25,"")))</f>
        <v/>
      </c>
      <c r="H756" s="28">
        <f>IFERROR(IF(F756*G756=0,0,F756*G756),0)</f>
        <v/>
      </c>
      <c r="I756" s="29" t="n"/>
      <c r="J756" s="57" t="n"/>
      <c r="K756" s="25" t="n"/>
      <c r="L756" s="30" t="n"/>
      <c r="M756" s="58" t="n"/>
      <c r="N756" s="30" t="n"/>
      <c r="O756" s="24">
        <f>IFERROR(IF(OR(M756="",M756=0),0,H756*VALUE(SUBSTITUTE(M756&amp;"","$",""))),0)</f>
        <v/>
      </c>
    </row>
    <row r="757" hidden="1" outlineLevel="1" ht="16" customHeight="1">
      <c r="A757" s="13" t="n"/>
      <c r="B757" s="14" t="n"/>
      <c r="C757" s="15" t="n"/>
      <c r="D757" s="56" t="n"/>
      <c r="E757" s="56" t="n"/>
      <c r="F757" s="17" t="n"/>
      <c r="G757" s="18">
        <f>IF(D757="Tandem",10,IF(D757="TT",22,IF(D757="Quad",25,"")))</f>
        <v/>
      </c>
      <c r="H757" s="19">
        <f>IFERROR(IF(F757*G757=0,0,F757*G757),0)</f>
        <v/>
      </c>
      <c r="I757" s="20" t="n"/>
      <c r="J757" s="57" t="n"/>
      <c r="K757" s="14" t="n"/>
      <c r="L757" s="22" t="n"/>
      <c r="M757" s="58" t="n"/>
      <c r="N757" s="22" t="n"/>
      <c r="O757" s="24">
        <f>IFERROR(IF(OR(M757="",M757=0),0,H757*VALUE(SUBSTITUTE(M757&amp;"","$",""))),0)</f>
        <v/>
      </c>
    </row>
    <row r="758" hidden="1" outlineLevel="1" ht="16" customHeight="1">
      <c r="A758" s="13" t="n"/>
      <c r="B758" s="25" t="n"/>
      <c r="C758" s="26" t="n"/>
      <c r="D758" s="56" t="n"/>
      <c r="E758" s="56" t="n"/>
      <c r="F758" s="27" t="n"/>
      <c r="G758" s="18">
        <f>IF(D758="Tandem",10,IF(D758="TT",22,IF(D758="Quad",25,"")))</f>
        <v/>
      </c>
      <c r="H758" s="28">
        <f>IFERROR(IF(F758*G758=0,0,F758*G758),0)</f>
        <v/>
      </c>
      <c r="I758" s="29" t="n"/>
      <c r="J758" s="57" t="n"/>
      <c r="K758" s="25" t="n"/>
      <c r="L758" s="30" t="n"/>
      <c r="M758" s="58" t="n"/>
      <c r="N758" s="30" t="n"/>
      <c r="O758" s="24">
        <f>IFERROR(IF(OR(M758="",M758=0),0,H758*VALUE(SUBSTITUTE(M758&amp;"","$",""))),0)</f>
        <v/>
      </c>
    </row>
    <row r="759" hidden="1" outlineLevel="1" ht="16" customHeight="1">
      <c r="A759" s="13" t="n"/>
      <c r="B759" s="14" t="n"/>
      <c r="C759" s="15" t="n"/>
      <c r="D759" s="56" t="n"/>
      <c r="E759" s="56" t="n"/>
      <c r="F759" s="17" t="n"/>
      <c r="G759" s="18">
        <f>IF(D759="Tandem",10,IF(D759="TT",22,IF(D759="Quad",25,"")))</f>
        <v/>
      </c>
      <c r="H759" s="19">
        <f>IFERROR(IF(F759*G759=0,0,F759*G759),0)</f>
        <v/>
      </c>
      <c r="I759" s="20" t="n"/>
      <c r="J759" s="57" t="n"/>
      <c r="K759" s="14" t="n"/>
      <c r="L759" s="22" t="n"/>
      <c r="M759" s="58" t="n"/>
      <c r="N759" s="22" t="n"/>
      <c r="O759" s="24">
        <f>IFERROR(IF(OR(M759="",M759=0),0,H759*VALUE(SUBSTITUTE(M759&amp;"","$",""))),0)</f>
        <v/>
      </c>
    </row>
    <row r="760" hidden="1" outlineLevel="1" ht="16" customHeight="1">
      <c r="A760" s="13" t="n"/>
      <c r="B760" s="25" t="n"/>
      <c r="C760" s="26" t="n"/>
      <c r="D760" s="56" t="n"/>
      <c r="E760" s="56" t="n"/>
      <c r="F760" s="27" t="n"/>
      <c r="G760" s="18">
        <f>IF(D760="Tandem",10,IF(D760="TT",22,IF(D760="Quad",25,"")))</f>
        <v/>
      </c>
      <c r="H760" s="28">
        <f>IFERROR(IF(F760*G760=0,0,F760*G760),0)</f>
        <v/>
      </c>
      <c r="I760" s="29" t="n"/>
      <c r="J760" s="57" t="n"/>
      <c r="K760" s="25" t="n"/>
      <c r="L760" s="30" t="n"/>
      <c r="M760" s="58" t="n"/>
      <c r="N760" s="30" t="n"/>
      <c r="O760" s="24">
        <f>IFERROR(IF(OR(M760="",M760=0),0,H760*VALUE(SUBSTITUTE(M760&amp;"","$",""))),0)</f>
        <v/>
      </c>
    </row>
    <row r="761" hidden="1" outlineLevel="1" ht="16" customHeight="1">
      <c r="A761" s="13" t="n"/>
      <c r="B761" s="14" t="n"/>
      <c r="C761" s="15" t="n"/>
      <c r="D761" s="56" t="n"/>
      <c r="E761" s="56" t="n"/>
      <c r="F761" s="17" t="n"/>
      <c r="G761" s="18">
        <f>IF(D761="Tandem",10,IF(D761="TT",22,IF(D761="Quad",25,"")))</f>
        <v/>
      </c>
      <c r="H761" s="19">
        <f>IFERROR(IF(F761*G761=0,0,F761*G761),0)</f>
        <v/>
      </c>
      <c r="I761" s="20" t="n"/>
      <c r="J761" s="57" t="n"/>
      <c r="K761" s="14" t="n"/>
      <c r="L761" s="22" t="n"/>
      <c r="M761" s="58" t="n"/>
      <c r="N761" s="22" t="n"/>
      <c r="O761" s="24">
        <f>IFERROR(IF(OR(M761="",M761=0),0,H761*VALUE(SUBSTITUTE(M761&amp;"","$",""))),0)</f>
        <v/>
      </c>
    </row>
    <row r="762" hidden="1" outlineLevel="1" ht="16" customHeight="1">
      <c r="A762" s="13" t="n"/>
      <c r="B762" s="25" t="n"/>
      <c r="C762" s="26" t="n"/>
      <c r="D762" s="56" t="n"/>
      <c r="E762" s="56" t="n"/>
      <c r="F762" s="27" t="n"/>
      <c r="G762" s="18">
        <f>IF(D762="Tandem",10,IF(D762="TT",22,IF(D762="Quad",25,"")))</f>
        <v/>
      </c>
      <c r="H762" s="28">
        <f>IFERROR(IF(F762*G762=0,0,F762*G762),0)</f>
        <v/>
      </c>
      <c r="I762" s="29" t="n"/>
      <c r="J762" s="57" t="n"/>
      <c r="K762" s="25" t="n"/>
      <c r="L762" s="30" t="n"/>
      <c r="M762" s="58" t="n"/>
      <c r="N762" s="30" t="n"/>
      <c r="O762" s="24">
        <f>IFERROR(IF(OR(M762="",M762=0),0,H762*VALUE(SUBSTITUTE(M762&amp;"","$",""))),0)</f>
        <v/>
      </c>
    </row>
    <row r="763" hidden="1" outlineLevel="1" ht="16" customHeight="1">
      <c r="A763" s="13" t="n"/>
      <c r="B763" s="14" t="n"/>
      <c r="C763" s="15" t="n"/>
      <c r="D763" s="56" t="n"/>
      <c r="E763" s="56" t="n"/>
      <c r="F763" s="17" t="n"/>
      <c r="G763" s="18">
        <f>IF(D763="Tandem",10,IF(D763="TT",22,IF(D763="Quad",25,"")))</f>
        <v/>
      </c>
      <c r="H763" s="19">
        <f>IFERROR(IF(F763*G763=0,0,F763*G763),0)</f>
        <v/>
      </c>
      <c r="I763" s="20" t="n"/>
      <c r="J763" s="57" t="n"/>
      <c r="K763" s="14" t="n"/>
      <c r="L763" s="22" t="n"/>
      <c r="M763" s="58" t="n"/>
      <c r="N763" s="22" t="n"/>
      <c r="O763" s="24">
        <f>IFERROR(IF(OR(M763="",M763=0),0,H763*VALUE(SUBSTITUTE(M763&amp;"","$",""))),0)</f>
        <v/>
      </c>
    </row>
    <row r="764" hidden="1" outlineLevel="1" ht="16" customHeight="1">
      <c r="A764" s="13" t="n"/>
      <c r="B764" s="25" t="n"/>
      <c r="C764" s="26" t="n"/>
      <c r="D764" s="56" t="n"/>
      <c r="E764" s="56" t="n"/>
      <c r="F764" s="27" t="n"/>
      <c r="G764" s="18">
        <f>IF(D764="Tandem",10,IF(D764="TT",22,IF(D764="Quad",25,"")))</f>
        <v/>
      </c>
      <c r="H764" s="28">
        <f>IFERROR(IF(F764*G764=0,0,F764*G764),0)</f>
        <v/>
      </c>
      <c r="I764" s="29" t="n"/>
      <c r="J764" s="57" t="n"/>
      <c r="K764" s="25" t="n"/>
      <c r="L764" s="30" t="n"/>
      <c r="M764" s="58" t="n"/>
      <c r="N764" s="30" t="n"/>
      <c r="O764" s="24">
        <f>IFERROR(IF(OR(M764="",M764=0),0,H764*VALUE(SUBSTITUTE(M764&amp;"","$",""))),0)</f>
        <v/>
      </c>
    </row>
    <row r="765" hidden="1" outlineLevel="1" ht="16" customHeight="1">
      <c r="A765" s="13" t="n"/>
      <c r="B765" s="14" t="n"/>
      <c r="C765" s="15" t="n"/>
      <c r="D765" s="56" t="n"/>
      <c r="E765" s="56" t="n"/>
      <c r="F765" s="17" t="n"/>
      <c r="G765" s="18">
        <f>IF(D765="Tandem",10,IF(D765="TT",22,IF(D765="Quad",25,"")))</f>
        <v/>
      </c>
      <c r="H765" s="19">
        <f>IFERROR(IF(F765*G765=0,0,F765*G765),0)</f>
        <v/>
      </c>
      <c r="I765" s="20" t="n"/>
      <c r="J765" s="57" t="n"/>
      <c r="K765" s="14" t="n"/>
      <c r="L765" s="22" t="n"/>
      <c r="M765" s="58" t="n"/>
      <c r="N765" s="22" t="n"/>
      <c r="O765" s="24">
        <f>IFERROR(IF(OR(M765="",M765=0),0,H765*VALUE(SUBSTITUTE(M765&amp;"","$",""))),0)</f>
        <v/>
      </c>
    </row>
    <row r="766" hidden="1" outlineLevel="1" ht="16" customHeight="1">
      <c r="A766" s="13" t="n"/>
      <c r="B766" s="25" t="n"/>
      <c r="C766" s="26" t="n"/>
      <c r="D766" s="56" t="n"/>
      <c r="E766" s="56" t="n"/>
      <c r="F766" s="27" t="n"/>
      <c r="G766" s="18">
        <f>IF(D766="Tandem",10,IF(D766="TT",22,IF(D766="Quad",25,"")))</f>
        <v/>
      </c>
      <c r="H766" s="28">
        <f>IFERROR(IF(F766*G766=0,0,F766*G766),0)</f>
        <v/>
      </c>
      <c r="I766" s="29" t="n"/>
      <c r="J766" s="57" t="n"/>
      <c r="K766" s="25" t="n"/>
      <c r="L766" s="30" t="n"/>
      <c r="M766" s="58" t="n"/>
      <c r="N766" s="30" t="n"/>
      <c r="O766" s="24">
        <f>IFERROR(IF(OR(M766="",M766=0),0,H766*VALUE(SUBSTITUTE(M766&amp;"","$",""))),0)</f>
        <v/>
      </c>
    </row>
    <row r="767" hidden="1" outlineLevel="1" ht="16" customHeight="1">
      <c r="A767" s="13" t="n"/>
      <c r="B767" s="14" t="n"/>
      <c r="C767" s="15" t="n"/>
      <c r="D767" s="56" t="n"/>
      <c r="E767" s="56" t="n"/>
      <c r="F767" s="17" t="n"/>
      <c r="G767" s="18">
        <f>IF(D767="Tandem",10,IF(D767="TT",22,IF(D767="Quad",25,"")))</f>
        <v/>
      </c>
      <c r="H767" s="19">
        <f>IFERROR(IF(F767*G767=0,0,F767*G767),0)</f>
        <v/>
      </c>
      <c r="I767" s="20" t="n"/>
      <c r="J767" s="57" t="n"/>
      <c r="K767" s="14" t="n"/>
      <c r="L767" s="22" t="n"/>
      <c r="M767" s="58" t="n"/>
      <c r="N767" s="22" t="n"/>
      <c r="O767" s="24">
        <f>IFERROR(IF(OR(M767="",M767=0),0,H767*VALUE(SUBSTITUTE(M767&amp;"","$",""))),0)</f>
        <v/>
      </c>
    </row>
    <row r="768" hidden="1" outlineLevel="1" ht="16" customHeight="1">
      <c r="A768" s="13" t="n"/>
      <c r="B768" s="25" t="n"/>
      <c r="C768" s="26" t="n"/>
      <c r="D768" s="56" t="n"/>
      <c r="E768" s="56" t="n"/>
      <c r="F768" s="27" t="n"/>
      <c r="G768" s="18">
        <f>IF(D768="Tandem",10,IF(D768="TT",22,IF(D768="Quad",25,"")))</f>
        <v/>
      </c>
      <c r="H768" s="28">
        <f>IFERROR(IF(F768*G768=0,0,F768*G768),0)</f>
        <v/>
      </c>
      <c r="I768" s="29" t="n"/>
      <c r="J768" s="57" t="n"/>
      <c r="K768" s="25" t="n"/>
      <c r="L768" s="30" t="n"/>
      <c r="M768" s="58" t="n"/>
      <c r="N768" s="30" t="n"/>
      <c r="O768" s="24">
        <f>IFERROR(IF(OR(M768="",M768=0),0,H768*VALUE(SUBSTITUTE(M768&amp;"","$",""))),0)</f>
        <v/>
      </c>
    </row>
    <row r="769" hidden="1" outlineLevel="1" ht="20" customHeight="1">
      <c r="A769" s="59" t="inlineStr">
        <is>
          <t>Daily Notes:</t>
        </is>
      </c>
      <c r="B769" s="54" t="n"/>
      <c r="C769" s="54" t="n"/>
      <c r="D769" s="54" t="n"/>
      <c r="E769" s="54" t="n"/>
      <c r="F769" s="54" t="n"/>
      <c r="G769" s="54" t="n"/>
      <c r="H769" s="54" t="n"/>
      <c r="I769" s="54" t="n"/>
      <c r="J769" s="54" t="n"/>
      <c r="K769" s="54" t="n"/>
      <c r="L769" s="54" t="n"/>
      <c r="M769" s="54" t="n"/>
      <c r="N769" s="50" t="n"/>
      <c r="O769" s="60" t="n"/>
    </row>
    <row r="770" hidden="1" outlineLevel="1" ht="18" customHeight="1">
      <c r="A770" s="32" t="inlineStr">
        <is>
          <t>DAILY TOTAL</t>
        </is>
      </c>
      <c r="B770" s="54" t="n"/>
      <c r="C770" s="54" t="n"/>
      <c r="D770" s="54" t="n"/>
      <c r="E770" s="54" t="n"/>
      <c r="F770" s="54" t="n"/>
      <c r="G770" s="50" t="n"/>
      <c r="H770" s="34">
        <f>SUM(H739:H768)</f>
        <v/>
      </c>
      <c r="I770" s="35">
        <f>SUM(I739:I768)</f>
        <v/>
      </c>
      <c r="J770" s="61" t="n"/>
      <c r="K770" s="61" t="n"/>
      <c r="L770" s="61" t="n"/>
      <c r="M770" s="36">
        <f>SUM(O739:O768)</f>
        <v/>
      </c>
      <c r="N770" s="61" t="n"/>
      <c r="O770" s="62" t="n"/>
    </row>
    <row r="771" hidden="1" outlineLevel="1" ht="18" customHeight="1">
      <c r="A771" s="2" t="inlineStr">
        <is>
          <t>▶ RUNNING TOTAL</t>
        </is>
      </c>
      <c r="B771" s="54" t="n"/>
      <c r="C771" s="54" t="n"/>
      <c r="D771" s="54" t="n"/>
      <c r="E771" s="54" t="n"/>
      <c r="F771" s="54" t="n"/>
      <c r="G771" s="50" t="n"/>
      <c r="H771" s="37">
        <f>H50+H86+H122+H158+H194+H230+H266+H302+H338+H374+H410+H446+H482+H518+H554+H590+H626+H662+H698+H734+H770</f>
        <v/>
      </c>
      <c r="I771" s="63" t="n"/>
      <c r="J771" s="63" t="n"/>
      <c r="K771" s="63" t="n"/>
      <c r="L771" s="63" t="n"/>
      <c r="M771" s="38">
        <f>M50+M86+M122+M158+M194+M230+M266+M302+M338+M374+M410+M446+M482+M518+M554+M590+M626+M662+M698+M734+M770</f>
        <v/>
      </c>
      <c r="N771" s="63" t="n"/>
      <c r="O771" s="64" t="n"/>
    </row>
    <row r="772" hidden="1" outlineLevel="1" ht="8" customHeight="1"/>
    <row r="773" ht="22" customHeight="1">
      <c r="A773" s="55" t="inlineStr">
        <is>
          <t>DAY 22</t>
        </is>
      </c>
      <c r="B773" s="54" t="n"/>
      <c r="C773" s="54" t="n"/>
      <c r="D773" s="54" t="n"/>
      <c r="E773" s="54" t="n"/>
      <c r="F773" s="54" t="n"/>
      <c r="G773" s="54" t="n"/>
      <c r="H773" s="54" t="n"/>
      <c r="I773" s="54" t="n"/>
      <c r="J773" s="54" t="n"/>
      <c r="K773" s="54" t="n"/>
      <c r="L773" s="54" t="n"/>
      <c r="M773" s="54" t="n"/>
      <c r="N773" s="50" t="n"/>
    </row>
    <row r="774" hidden="1" outlineLevel="1" ht="28" customHeight="1">
      <c r="A774" s="12" t="inlineStr">
        <is>
          <t>Date</t>
        </is>
      </c>
      <c r="B774" s="12" t="inlineStr">
        <is>
          <t>Cartage Company</t>
        </is>
      </c>
      <c r="C774" s="12" t="inlineStr">
        <is>
          <t>Truck Rego</t>
        </is>
      </c>
      <c r="D774" s="12" t="inlineStr">
        <is>
          <t>Truck Type</t>
        </is>
      </c>
      <c r="E774" s="12" t="inlineStr">
        <is>
          <t>Exp / Imp</t>
        </is>
      </c>
      <c r="F774" s="12" t="inlineStr">
        <is>
          <t>Loads</t>
        </is>
      </c>
      <c r="G774" s="12" t="inlineStr">
        <is>
          <t>m³ / Load</t>
        </is>
      </c>
      <c r="H774" s="12" t="inlineStr">
        <is>
          <t>Total m³</t>
        </is>
      </c>
      <c r="I774" s="12" t="inlineStr">
        <is>
          <t>Hours</t>
        </is>
      </c>
      <c r="J774" s="12" t="inlineStr">
        <is>
          <t>Material</t>
        </is>
      </c>
      <c r="K774" s="12" t="inlineStr">
        <is>
          <t>Tip Site</t>
        </is>
      </c>
      <c r="L774" s="12" t="inlineStr">
        <is>
          <t>Docket #</t>
        </is>
      </c>
      <c r="M774" s="12" t="inlineStr">
        <is>
          <t>Rate Paid ($/m³)</t>
        </is>
      </c>
      <c r="N774" s="12" t="inlineStr">
        <is>
          <t>Invoice #</t>
        </is>
      </c>
    </row>
    <row r="775" hidden="1" outlineLevel="1" ht="16" customHeight="1">
      <c r="A775" s="13" t="n"/>
      <c r="B775" s="14" t="n"/>
      <c r="C775" s="15" t="n"/>
      <c r="D775" s="56" t="n"/>
      <c r="E775" s="56" t="n"/>
      <c r="F775" s="17" t="n"/>
      <c r="G775" s="18">
        <f>IF(D775="Tandem",10,IF(D775="TT",22,IF(D775="Quad",25,"")))</f>
        <v/>
      </c>
      <c r="H775" s="19">
        <f>IFERROR(IF(F775*G775=0,0,F775*G775),0)</f>
        <v/>
      </c>
      <c r="I775" s="20" t="n"/>
      <c r="J775" s="57" t="n"/>
      <c r="K775" s="14" t="n"/>
      <c r="L775" s="22" t="n"/>
      <c r="M775" s="58" t="n"/>
      <c r="N775" s="22" t="n"/>
      <c r="O775" s="24">
        <f>IFERROR(IF(OR(M775="",M775=0),0,H775*VALUE(SUBSTITUTE(M775&amp;"","$",""))),0)</f>
        <v/>
      </c>
    </row>
    <row r="776" hidden="1" outlineLevel="1" ht="16" customHeight="1">
      <c r="A776" s="13" t="n"/>
      <c r="B776" s="25" t="n"/>
      <c r="C776" s="26" t="n"/>
      <c r="D776" s="56" t="n"/>
      <c r="E776" s="56" t="n"/>
      <c r="F776" s="27" t="n"/>
      <c r="G776" s="18">
        <f>IF(D776="Tandem",10,IF(D776="TT",22,IF(D776="Quad",25,"")))</f>
        <v/>
      </c>
      <c r="H776" s="28">
        <f>IFERROR(IF(F776*G776=0,0,F776*G776),0)</f>
        <v/>
      </c>
      <c r="I776" s="29" t="n"/>
      <c r="J776" s="57" t="n"/>
      <c r="K776" s="25" t="n"/>
      <c r="L776" s="30" t="n"/>
      <c r="M776" s="58" t="n"/>
      <c r="N776" s="30" t="n"/>
      <c r="O776" s="24">
        <f>IFERROR(IF(OR(M776="",M776=0),0,H776*VALUE(SUBSTITUTE(M776&amp;"","$",""))),0)</f>
        <v/>
      </c>
    </row>
    <row r="777" hidden="1" outlineLevel="1" ht="16" customHeight="1">
      <c r="A777" s="13" t="n"/>
      <c r="B777" s="14" t="n"/>
      <c r="C777" s="15" t="n"/>
      <c r="D777" s="56" t="n"/>
      <c r="E777" s="56" t="n"/>
      <c r="F777" s="17" t="n"/>
      <c r="G777" s="18">
        <f>IF(D777="Tandem",10,IF(D777="TT",22,IF(D777="Quad",25,"")))</f>
        <v/>
      </c>
      <c r="H777" s="19">
        <f>IFERROR(IF(F777*G777=0,0,F777*G777),0)</f>
        <v/>
      </c>
      <c r="I777" s="20" t="n"/>
      <c r="J777" s="57" t="n"/>
      <c r="K777" s="14" t="n"/>
      <c r="L777" s="22" t="n"/>
      <c r="M777" s="58" t="n"/>
      <c r="N777" s="22" t="n"/>
      <c r="O777" s="24">
        <f>IFERROR(IF(OR(M777="",M777=0),0,H777*VALUE(SUBSTITUTE(M777&amp;"","$",""))),0)</f>
        <v/>
      </c>
    </row>
    <row r="778" hidden="1" outlineLevel="1" ht="16" customHeight="1">
      <c r="A778" s="13" t="n"/>
      <c r="B778" s="25" t="n"/>
      <c r="C778" s="26" t="n"/>
      <c r="D778" s="56" t="n"/>
      <c r="E778" s="56" t="n"/>
      <c r="F778" s="27" t="n"/>
      <c r="G778" s="18">
        <f>IF(D778="Tandem",10,IF(D778="TT",22,IF(D778="Quad",25,"")))</f>
        <v/>
      </c>
      <c r="H778" s="28">
        <f>IFERROR(IF(F778*G778=0,0,F778*G778),0)</f>
        <v/>
      </c>
      <c r="I778" s="29" t="n"/>
      <c r="J778" s="57" t="n"/>
      <c r="K778" s="25" t="n"/>
      <c r="L778" s="30" t="n"/>
      <c r="M778" s="58" t="n"/>
      <c r="N778" s="30" t="n"/>
      <c r="O778" s="24">
        <f>IFERROR(IF(OR(M778="",M778=0),0,H778*VALUE(SUBSTITUTE(M778&amp;"","$",""))),0)</f>
        <v/>
      </c>
    </row>
    <row r="779" hidden="1" outlineLevel="1" ht="16" customHeight="1">
      <c r="A779" s="13" t="n"/>
      <c r="B779" s="14" t="n"/>
      <c r="C779" s="15" t="n"/>
      <c r="D779" s="56" t="n"/>
      <c r="E779" s="56" t="n"/>
      <c r="F779" s="17" t="n"/>
      <c r="G779" s="18">
        <f>IF(D779="Tandem",10,IF(D779="TT",22,IF(D779="Quad",25,"")))</f>
        <v/>
      </c>
      <c r="H779" s="19">
        <f>IFERROR(IF(F779*G779=0,0,F779*G779),0)</f>
        <v/>
      </c>
      <c r="I779" s="20" t="n"/>
      <c r="J779" s="57" t="n"/>
      <c r="K779" s="14" t="n"/>
      <c r="L779" s="22" t="n"/>
      <c r="M779" s="58" t="n"/>
      <c r="N779" s="22" t="n"/>
      <c r="O779" s="24">
        <f>IFERROR(IF(OR(M779="",M779=0),0,H779*VALUE(SUBSTITUTE(M779&amp;"","$",""))),0)</f>
        <v/>
      </c>
    </row>
    <row r="780" hidden="1" outlineLevel="1" ht="16" customHeight="1">
      <c r="A780" s="13" t="n"/>
      <c r="B780" s="25" t="n"/>
      <c r="C780" s="26" t="n"/>
      <c r="D780" s="56" t="n"/>
      <c r="E780" s="56" t="n"/>
      <c r="F780" s="27" t="n"/>
      <c r="G780" s="18">
        <f>IF(D780="Tandem",10,IF(D780="TT",22,IF(D780="Quad",25,"")))</f>
        <v/>
      </c>
      <c r="H780" s="28">
        <f>IFERROR(IF(F780*G780=0,0,F780*G780),0)</f>
        <v/>
      </c>
      <c r="I780" s="29" t="n"/>
      <c r="J780" s="57" t="n"/>
      <c r="K780" s="25" t="n"/>
      <c r="L780" s="30" t="n"/>
      <c r="M780" s="58" t="n"/>
      <c r="N780" s="30" t="n"/>
      <c r="O780" s="24">
        <f>IFERROR(IF(OR(M780="",M780=0),0,H780*VALUE(SUBSTITUTE(M780&amp;"","$",""))),0)</f>
        <v/>
      </c>
    </row>
    <row r="781" hidden="1" outlineLevel="1" ht="16" customHeight="1">
      <c r="A781" s="13" t="n"/>
      <c r="B781" s="14" t="n"/>
      <c r="C781" s="15" t="n"/>
      <c r="D781" s="56" t="n"/>
      <c r="E781" s="56" t="n"/>
      <c r="F781" s="17" t="n"/>
      <c r="G781" s="18">
        <f>IF(D781="Tandem",10,IF(D781="TT",22,IF(D781="Quad",25,"")))</f>
        <v/>
      </c>
      <c r="H781" s="19">
        <f>IFERROR(IF(F781*G781=0,0,F781*G781),0)</f>
        <v/>
      </c>
      <c r="I781" s="20" t="n"/>
      <c r="J781" s="57" t="n"/>
      <c r="K781" s="14" t="n"/>
      <c r="L781" s="22" t="n"/>
      <c r="M781" s="58" t="n"/>
      <c r="N781" s="22" t="n"/>
      <c r="O781" s="24">
        <f>IFERROR(IF(OR(M781="",M781=0),0,H781*VALUE(SUBSTITUTE(M781&amp;"","$",""))),0)</f>
        <v/>
      </c>
    </row>
    <row r="782" hidden="1" outlineLevel="1" ht="16" customHeight="1">
      <c r="A782" s="13" t="n"/>
      <c r="B782" s="25" t="n"/>
      <c r="C782" s="26" t="n"/>
      <c r="D782" s="56" t="n"/>
      <c r="E782" s="56" t="n"/>
      <c r="F782" s="27" t="n"/>
      <c r="G782" s="18">
        <f>IF(D782="Tandem",10,IF(D782="TT",22,IF(D782="Quad",25,"")))</f>
        <v/>
      </c>
      <c r="H782" s="28">
        <f>IFERROR(IF(F782*G782=0,0,F782*G782),0)</f>
        <v/>
      </c>
      <c r="I782" s="29" t="n"/>
      <c r="J782" s="57" t="n"/>
      <c r="K782" s="25" t="n"/>
      <c r="L782" s="30" t="n"/>
      <c r="M782" s="58" t="n"/>
      <c r="N782" s="30" t="n"/>
      <c r="O782" s="24">
        <f>IFERROR(IF(OR(M782="",M782=0),0,H782*VALUE(SUBSTITUTE(M782&amp;"","$",""))),0)</f>
        <v/>
      </c>
    </row>
    <row r="783" hidden="1" outlineLevel="1" ht="16" customHeight="1">
      <c r="A783" s="13" t="n"/>
      <c r="B783" s="14" t="n"/>
      <c r="C783" s="15" t="n"/>
      <c r="D783" s="56" t="n"/>
      <c r="E783" s="56" t="n"/>
      <c r="F783" s="17" t="n"/>
      <c r="G783" s="18">
        <f>IF(D783="Tandem",10,IF(D783="TT",22,IF(D783="Quad",25,"")))</f>
        <v/>
      </c>
      <c r="H783" s="19">
        <f>IFERROR(IF(F783*G783=0,0,F783*G783),0)</f>
        <v/>
      </c>
      <c r="I783" s="20" t="n"/>
      <c r="J783" s="57" t="n"/>
      <c r="K783" s="14" t="n"/>
      <c r="L783" s="22" t="n"/>
      <c r="M783" s="58" t="n"/>
      <c r="N783" s="22" t="n"/>
      <c r="O783" s="24">
        <f>IFERROR(IF(OR(M783="",M783=0),0,H783*VALUE(SUBSTITUTE(M783&amp;"","$",""))),0)</f>
        <v/>
      </c>
    </row>
    <row r="784" hidden="1" outlineLevel="1" ht="16" customHeight="1">
      <c r="A784" s="13" t="n"/>
      <c r="B784" s="25" t="n"/>
      <c r="C784" s="26" t="n"/>
      <c r="D784" s="56" t="n"/>
      <c r="E784" s="56" t="n"/>
      <c r="F784" s="27" t="n"/>
      <c r="G784" s="18">
        <f>IF(D784="Tandem",10,IF(D784="TT",22,IF(D784="Quad",25,"")))</f>
        <v/>
      </c>
      <c r="H784" s="28">
        <f>IFERROR(IF(F784*G784=0,0,F784*G784),0)</f>
        <v/>
      </c>
      <c r="I784" s="29" t="n"/>
      <c r="J784" s="57" t="n"/>
      <c r="K784" s="25" t="n"/>
      <c r="L784" s="30" t="n"/>
      <c r="M784" s="58" t="n"/>
      <c r="N784" s="30" t="n"/>
      <c r="O784" s="24">
        <f>IFERROR(IF(OR(M784="",M784=0),0,H784*VALUE(SUBSTITUTE(M784&amp;"","$",""))),0)</f>
        <v/>
      </c>
    </row>
    <row r="785" hidden="1" outlineLevel="1" ht="16" customHeight="1">
      <c r="A785" s="13" t="n"/>
      <c r="B785" s="14" t="n"/>
      <c r="C785" s="15" t="n"/>
      <c r="D785" s="56" t="n"/>
      <c r="E785" s="56" t="n"/>
      <c r="F785" s="17" t="n"/>
      <c r="G785" s="18">
        <f>IF(D785="Tandem",10,IF(D785="TT",22,IF(D785="Quad",25,"")))</f>
        <v/>
      </c>
      <c r="H785" s="19">
        <f>IFERROR(IF(F785*G785=0,0,F785*G785),0)</f>
        <v/>
      </c>
      <c r="I785" s="20" t="n"/>
      <c r="J785" s="57" t="n"/>
      <c r="K785" s="14" t="n"/>
      <c r="L785" s="22" t="n"/>
      <c r="M785" s="58" t="n"/>
      <c r="N785" s="22" t="n"/>
      <c r="O785" s="24">
        <f>IFERROR(IF(OR(M785="",M785=0),0,H785*VALUE(SUBSTITUTE(M785&amp;"","$",""))),0)</f>
        <v/>
      </c>
    </row>
    <row r="786" hidden="1" outlineLevel="1" ht="16" customHeight="1">
      <c r="A786" s="13" t="n"/>
      <c r="B786" s="25" t="n"/>
      <c r="C786" s="26" t="n"/>
      <c r="D786" s="56" t="n"/>
      <c r="E786" s="56" t="n"/>
      <c r="F786" s="27" t="n"/>
      <c r="G786" s="18">
        <f>IF(D786="Tandem",10,IF(D786="TT",22,IF(D786="Quad",25,"")))</f>
        <v/>
      </c>
      <c r="H786" s="28">
        <f>IFERROR(IF(F786*G786=0,0,F786*G786),0)</f>
        <v/>
      </c>
      <c r="I786" s="29" t="n"/>
      <c r="J786" s="57" t="n"/>
      <c r="K786" s="25" t="n"/>
      <c r="L786" s="30" t="n"/>
      <c r="M786" s="58" t="n"/>
      <c r="N786" s="30" t="n"/>
      <c r="O786" s="24">
        <f>IFERROR(IF(OR(M786="",M786=0),0,H786*VALUE(SUBSTITUTE(M786&amp;"","$",""))),0)</f>
        <v/>
      </c>
    </row>
    <row r="787" hidden="1" outlineLevel="1" ht="16" customHeight="1">
      <c r="A787" s="13" t="n"/>
      <c r="B787" s="14" t="n"/>
      <c r="C787" s="15" t="n"/>
      <c r="D787" s="56" t="n"/>
      <c r="E787" s="56" t="n"/>
      <c r="F787" s="17" t="n"/>
      <c r="G787" s="18">
        <f>IF(D787="Tandem",10,IF(D787="TT",22,IF(D787="Quad",25,"")))</f>
        <v/>
      </c>
      <c r="H787" s="19">
        <f>IFERROR(IF(F787*G787=0,0,F787*G787),0)</f>
        <v/>
      </c>
      <c r="I787" s="20" t="n"/>
      <c r="J787" s="57" t="n"/>
      <c r="K787" s="14" t="n"/>
      <c r="L787" s="22" t="n"/>
      <c r="M787" s="58" t="n"/>
      <c r="N787" s="22" t="n"/>
      <c r="O787" s="24">
        <f>IFERROR(IF(OR(M787="",M787=0),0,H787*VALUE(SUBSTITUTE(M787&amp;"","$",""))),0)</f>
        <v/>
      </c>
    </row>
    <row r="788" hidden="1" outlineLevel="1" ht="16" customHeight="1">
      <c r="A788" s="13" t="n"/>
      <c r="B788" s="25" t="n"/>
      <c r="C788" s="26" t="n"/>
      <c r="D788" s="56" t="n"/>
      <c r="E788" s="56" t="n"/>
      <c r="F788" s="27" t="n"/>
      <c r="G788" s="18">
        <f>IF(D788="Tandem",10,IF(D788="TT",22,IF(D788="Quad",25,"")))</f>
        <v/>
      </c>
      <c r="H788" s="28">
        <f>IFERROR(IF(F788*G788=0,0,F788*G788),0)</f>
        <v/>
      </c>
      <c r="I788" s="29" t="n"/>
      <c r="J788" s="57" t="n"/>
      <c r="K788" s="25" t="n"/>
      <c r="L788" s="30" t="n"/>
      <c r="M788" s="58" t="n"/>
      <c r="N788" s="30" t="n"/>
      <c r="O788" s="24">
        <f>IFERROR(IF(OR(M788="",M788=0),0,H788*VALUE(SUBSTITUTE(M788&amp;"","$",""))),0)</f>
        <v/>
      </c>
    </row>
    <row r="789" hidden="1" outlineLevel="1" ht="16" customHeight="1">
      <c r="A789" s="13" t="n"/>
      <c r="B789" s="14" t="n"/>
      <c r="C789" s="15" t="n"/>
      <c r="D789" s="56" t="n"/>
      <c r="E789" s="56" t="n"/>
      <c r="F789" s="17" t="n"/>
      <c r="G789" s="18">
        <f>IF(D789="Tandem",10,IF(D789="TT",22,IF(D789="Quad",25,"")))</f>
        <v/>
      </c>
      <c r="H789" s="19">
        <f>IFERROR(IF(F789*G789=0,0,F789*G789),0)</f>
        <v/>
      </c>
      <c r="I789" s="20" t="n"/>
      <c r="J789" s="57" t="n"/>
      <c r="K789" s="14" t="n"/>
      <c r="L789" s="22" t="n"/>
      <c r="M789" s="58" t="n"/>
      <c r="N789" s="22" t="n"/>
      <c r="O789" s="24">
        <f>IFERROR(IF(OR(M789="",M789=0),0,H789*VALUE(SUBSTITUTE(M789&amp;"","$",""))),0)</f>
        <v/>
      </c>
    </row>
    <row r="790" hidden="1" outlineLevel="1" ht="16" customHeight="1">
      <c r="A790" s="13" t="n"/>
      <c r="B790" s="25" t="n"/>
      <c r="C790" s="26" t="n"/>
      <c r="D790" s="56" t="n"/>
      <c r="E790" s="56" t="n"/>
      <c r="F790" s="27" t="n"/>
      <c r="G790" s="18">
        <f>IF(D790="Tandem",10,IF(D790="TT",22,IF(D790="Quad",25,"")))</f>
        <v/>
      </c>
      <c r="H790" s="28">
        <f>IFERROR(IF(F790*G790=0,0,F790*G790),0)</f>
        <v/>
      </c>
      <c r="I790" s="29" t="n"/>
      <c r="J790" s="57" t="n"/>
      <c r="K790" s="25" t="n"/>
      <c r="L790" s="30" t="n"/>
      <c r="M790" s="58" t="n"/>
      <c r="N790" s="30" t="n"/>
      <c r="O790" s="24">
        <f>IFERROR(IF(OR(M790="",M790=0),0,H790*VALUE(SUBSTITUTE(M790&amp;"","$",""))),0)</f>
        <v/>
      </c>
    </row>
    <row r="791" hidden="1" outlineLevel="1" ht="16" customHeight="1">
      <c r="A791" s="13" t="n"/>
      <c r="B791" s="14" t="n"/>
      <c r="C791" s="15" t="n"/>
      <c r="D791" s="56" t="n"/>
      <c r="E791" s="56" t="n"/>
      <c r="F791" s="17" t="n"/>
      <c r="G791" s="18">
        <f>IF(D791="Tandem",10,IF(D791="TT",22,IF(D791="Quad",25,"")))</f>
        <v/>
      </c>
      <c r="H791" s="19">
        <f>IFERROR(IF(F791*G791=0,0,F791*G791),0)</f>
        <v/>
      </c>
      <c r="I791" s="20" t="n"/>
      <c r="J791" s="57" t="n"/>
      <c r="K791" s="14" t="n"/>
      <c r="L791" s="22" t="n"/>
      <c r="M791" s="58" t="n"/>
      <c r="N791" s="22" t="n"/>
      <c r="O791" s="24">
        <f>IFERROR(IF(OR(M791="",M791=0),0,H791*VALUE(SUBSTITUTE(M791&amp;"","$",""))),0)</f>
        <v/>
      </c>
    </row>
    <row r="792" hidden="1" outlineLevel="1" ht="16" customHeight="1">
      <c r="A792" s="13" t="n"/>
      <c r="B792" s="25" t="n"/>
      <c r="C792" s="26" t="n"/>
      <c r="D792" s="56" t="n"/>
      <c r="E792" s="56" t="n"/>
      <c r="F792" s="27" t="n"/>
      <c r="G792" s="18">
        <f>IF(D792="Tandem",10,IF(D792="TT",22,IF(D792="Quad",25,"")))</f>
        <v/>
      </c>
      <c r="H792" s="28">
        <f>IFERROR(IF(F792*G792=0,0,F792*G792),0)</f>
        <v/>
      </c>
      <c r="I792" s="29" t="n"/>
      <c r="J792" s="57" t="n"/>
      <c r="K792" s="25" t="n"/>
      <c r="L792" s="30" t="n"/>
      <c r="M792" s="58" t="n"/>
      <c r="N792" s="30" t="n"/>
      <c r="O792" s="24">
        <f>IFERROR(IF(OR(M792="",M792=0),0,H792*VALUE(SUBSTITUTE(M792&amp;"","$",""))),0)</f>
        <v/>
      </c>
    </row>
    <row r="793" hidden="1" outlineLevel="1" ht="16" customHeight="1">
      <c r="A793" s="13" t="n"/>
      <c r="B793" s="14" t="n"/>
      <c r="C793" s="15" t="n"/>
      <c r="D793" s="56" t="n"/>
      <c r="E793" s="56" t="n"/>
      <c r="F793" s="17" t="n"/>
      <c r="G793" s="18">
        <f>IF(D793="Tandem",10,IF(D793="TT",22,IF(D793="Quad",25,"")))</f>
        <v/>
      </c>
      <c r="H793" s="19">
        <f>IFERROR(IF(F793*G793=0,0,F793*G793),0)</f>
        <v/>
      </c>
      <c r="I793" s="20" t="n"/>
      <c r="J793" s="57" t="n"/>
      <c r="K793" s="14" t="n"/>
      <c r="L793" s="22" t="n"/>
      <c r="M793" s="58" t="n"/>
      <c r="N793" s="22" t="n"/>
      <c r="O793" s="24">
        <f>IFERROR(IF(OR(M793="",M793=0),0,H793*VALUE(SUBSTITUTE(M793&amp;"","$",""))),0)</f>
        <v/>
      </c>
    </row>
    <row r="794" hidden="1" outlineLevel="1" ht="16" customHeight="1">
      <c r="A794" s="13" t="n"/>
      <c r="B794" s="25" t="n"/>
      <c r="C794" s="26" t="n"/>
      <c r="D794" s="56" t="n"/>
      <c r="E794" s="56" t="n"/>
      <c r="F794" s="27" t="n"/>
      <c r="G794" s="18">
        <f>IF(D794="Tandem",10,IF(D794="TT",22,IF(D794="Quad",25,"")))</f>
        <v/>
      </c>
      <c r="H794" s="28">
        <f>IFERROR(IF(F794*G794=0,0,F794*G794),0)</f>
        <v/>
      </c>
      <c r="I794" s="29" t="n"/>
      <c r="J794" s="57" t="n"/>
      <c r="K794" s="25" t="n"/>
      <c r="L794" s="30" t="n"/>
      <c r="M794" s="58" t="n"/>
      <c r="N794" s="30" t="n"/>
      <c r="O794" s="24">
        <f>IFERROR(IF(OR(M794="",M794=0),0,H794*VALUE(SUBSTITUTE(M794&amp;"","$",""))),0)</f>
        <v/>
      </c>
    </row>
    <row r="795" hidden="1" outlineLevel="1" ht="16" customHeight="1">
      <c r="A795" s="13" t="n"/>
      <c r="B795" s="14" t="n"/>
      <c r="C795" s="15" t="n"/>
      <c r="D795" s="56" t="n"/>
      <c r="E795" s="56" t="n"/>
      <c r="F795" s="17" t="n"/>
      <c r="G795" s="18">
        <f>IF(D795="Tandem",10,IF(D795="TT",22,IF(D795="Quad",25,"")))</f>
        <v/>
      </c>
      <c r="H795" s="19">
        <f>IFERROR(IF(F795*G795=0,0,F795*G795),0)</f>
        <v/>
      </c>
      <c r="I795" s="20" t="n"/>
      <c r="J795" s="57" t="n"/>
      <c r="K795" s="14" t="n"/>
      <c r="L795" s="22" t="n"/>
      <c r="M795" s="58" t="n"/>
      <c r="N795" s="22" t="n"/>
      <c r="O795" s="24">
        <f>IFERROR(IF(OR(M795="",M795=0),0,H795*VALUE(SUBSTITUTE(M795&amp;"","$",""))),0)</f>
        <v/>
      </c>
    </row>
    <row r="796" hidden="1" outlineLevel="1" ht="16" customHeight="1">
      <c r="A796" s="13" t="n"/>
      <c r="B796" s="25" t="n"/>
      <c r="C796" s="26" t="n"/>
      <c r="D796" s="56" t="n"/>
      <c r="E796" s="56" t="n"/>
      <c r="F796" s="27" t="n"/>
      <c r="G796" s="18">
        <f>IF(D796="Tandem",10,IF(D796="TT",22,IF(D796="Quad",25,"")))</f>
        <v/>
      </c>
      <c r="H796" s="28">
        <f>IFERROR(IF(F796*G796=0,0,F796*G796),0)</f>
        <v/>
      </c>
      <c r="I796" s="29" t="n"/>
      <c r="J796" s="57" t="n"/>
      <c r="K796" s="25" t="n"/>
      <c r="L796" s="30" t="n"/>
      <c r="M796" s="58" t="n"/>
      <c r="N796" s="30" t="n"/>
      <c r="O796" s="24">
        <f>IFERROR(IF(OR(M796="",M796=0),0,H796*VALUE(SUBSTITUTE(M796&amp;"","$",""))),0)</f>
        <v/>
      </c>
    </row>
    <row r="797" hidden="1" outlineLevel="1" ht="16" customHeight="1">
      <c r="A797" s="13" t="n"/>
      <c r="B797" s="14" t="n"/>
      <c r="C797" s="15" t="n"/>
      <c r="D797" s="56" t="n"/>
      <c r="E797" s="56" t="n"/>
      <c r="F797" s="17" t="n"/>
      <c r="G797" s="18">
        <f>IF(D797="Tandem",10,IF(D797="TT",22,IF(D797="Quad",25,"")))</f>
        <v/>
      </c>
      <c r="H797" s="19">
        <f>IFERROR(IF(F797*G797=0,0,F797*G797),0)</f>
        <v/>
      </c>
      <c r="I797" s="20" t="n"/>
      <c r="J797" s="57" t="n"/>
      <c r="K797" s="14" t="n"/>
      <c r="L797" s="22" t="n"/>
      <c r="M797" s="58" t="n"/>
      <c r="N797" s="22" t="n"/>
      <c r="O797" s="24">
        <f>IFERROR(IF(OR(M797="",M797=0),0,H797*VALUE(SUBSTITUTE(M797&amp;"","$",""))),0)</f>
        <v/>
      </c>
    </row>
    <row r="798" hidden="1" outlineLevel="1" ht="16" customHeight="1">
      <c r="A798" s="13" t="n"/>
      <c r="B798" s="25" t="n"/>
      <c r="C798" s="26" t="n"/>
      <c r="D798" s="56" t="n"/>
      <c r="E798" s="56" t="n"/>
      <c r="F798" s="27" t="n"/>
      <c r="G798" s="18">
        <f>IF(D798="Tandem",10,IF(D798="TT",22,IF(D798="Quad",25,"")))</f>
        <v/>
      </c>
      <c r="H798" s="28">
        <f>IFERROR(IF(F798*G798=0,0,F798*G798),0)</f>
        <v/>
      </c>
      <c r="I798" s="29" t="n"/>
      <c r="J798" s="57" t="n"/>
      <c r="K798" s="25" t="n"/>
      <c r="L798" s="30" t="n"/>
      <c r="M798" s="58" t="n"/>
      <c r="N798" s="30" t="n"/>
      <c r="O798" s="24">
        <f>IFERROR(IF(OR(M798="",M798=0),0,H798*VALUE(SUBSTITUTE(M798&amp;"","$",""))),0)</f>
        <v/>
      </c>
    </row>
    <row r="799" hidden="1" outlineLevel="1" ht="16" customHeight="1">
      <c r="A799" s="13" t="n"/>
      <c r="B799" s="14" t="n"/>
      <c r="C799" s="15" t="n"/>
      <c r="D799" s="56" t="n"/>
      <c r="E799" s="56" t="n"/>
      <c r="F799" s="17" t="n"/>
      <c r="G799" s="18">
        <f>IF(D799="Tandem",10,IF(D799="TT",22,IF(D799="Quad",25,"")))</f>
        <v/>
      </c>
      <c r="H799" s="19">
        <f>IFERROR(IF(F799*G799=0,0,F799*G799),0)</f>
        <v/>
      </c>
      <c r="I799" s="20" t="n"/>
      <c r="J799" s="57" t="n"/>
      <c r="K799" s="14" t="n"/>
      <c r="L799" s="22" t="n"/>
      <c r="M799" s="58" t="n"/>
      <c r="N799" s="22" t="n"/>
      <c r="O799" s="24">
        <f>IFERROR(IF(OR(M799="",M799=0),0,H799*VALUE(SUBSTITUTE(M799&amp;"","$",""))),0)</f>
        <v/>
      </c>
    </row>
    <row r="800" hidden="1" outlineLevel="1" ht="16" customHeight="1">
      <c r="A800" s="13" t="n"/>
      <c r="B800" s="25" t="n"/>
      <c r="C800" s="26" t="n"/>
      <c r="D800" s="56" t="n"/>
      <c r="E800" s="56" t="n"/>
      <c r="F800" s="27" t="n"/>
      <c r="G800" s="18">
        <f>IF(D800="Tandem",10,IF(D800="TT",22,IF(D800="Quad",25,"")))</f>
        <v/>
      </c>
      <c r="H800" s="28">
        <f>IFERROR(IF(F800*G800=0,0,F800*G800),0)</f>
        <v/>
      </c>
      <c r="I800" s="29" t="n"/>
      <c r="J800" s="57" t="n"/>
      <c r="K800" s="25" t="n"/>
      <c r="L800" s="30" t="n"/>
      <c r="M800" s="58" t="n"/>
      <c r="N800" s="30" t="n"/>
      <c r="O800" s="24">
        <f>IFERROR(IF(OR(M800="",M800=0),0,H800*VALUE(SUBSTITUTE(M800&amp;"","$",""))),0)</f>
        <v/>
      </c>
    </row>
    <row r="801" hidden="1" outlineLevel="1" ht="16" customHeight="1">
      <c r="A801" s="13" t="n"/>
      <c r="B801" s="14" t="n"/>
      <c r="C801" s="15" t="n"/>
      <c r="D801" s="56" t="n"/>
      <c r="E801" s="56" t="n"/>
      <c r="F801" s="17" t="n"/>
      <c r="G801" s="18">
        <f>IF(D801="Tandem",10,IF(D801="TT",22,IF(D801="Quad",25,"")))</f>
        <v/>
      </c>
      <c r="H801" s="19">
        <f>IFERROR(IF(F801*G801=0,0,F801*G801),0)</f>
        <v/>
      </c>
      <c r="I801" s="20" t="n"/>
      <c r="J801" s="57" t="n"/>
      <c r="K801" s="14" t="n"/>
      <c r="L801" s="22" t="n"/>
      <c r="M801" s="58" t="n"/>
      <c r="N801" s="22" t="n"/>
      <c r="O801" s="24">
        <f>IFERROR(IF(OR(M801="",M801=0),0,H801*VALUE(SUBSTITUTE(M801&amp;"","$",""))),0)</f>
        <v/>
      </c>
    </row>
    <row r="802" hidden="1" outlineLevel="1" ht="16" customHeight="1">
      <c r="A802" s="13" t="n"/>
      <c r="B802" s="25" t="n"/>
      <c r="C802" s="26" t="n"/>
      <c r="D802" s="56" t="n"/>
      <c r="E802" s="56" t="n"/>
      <c r="F802" s="27" t="n"/>
      <c r="G802" s="18">
        <f>IF(D802="Tandem",10,IF(D802="TT",22,IF(D802="Quad",25,"")))</f>
        <v/>
      </c>
      <c r="H802" s="28">
        <f>IFERROR(IF(F802*G802=0,0,F802*G802),0)</f>
        <v/>
      </c>
      <c r="I802" s="29" t="n"/>
      <c r="J802" s="57" t="n"/>
      <c r="K802" s="25" t="n"/>
      <c r="L802" s="30" t="n"/>
      <c r="M802" s="58" t="n"/>
      <c r="N802" s="30" t="n"/>
      <c r="O802" s="24">
        <f>IFERROR(IF(OR(M802="",M802=0),0,H802*VALUE(SUBSTITUTE(M802&amp;"","$",""))),0)</f>
        <v/>
      </c>
    </row>
    <row r="803" hidden="1" outlineLevel="1" ht="16" customHeight="1">
      <c r="A803" s="13" t="n"/>
      <c r="B803" s="14" t="n"/>
      <c r="C803" s="15" t="n"/>
      <c r="D803" s="56" t="n"/>
      <c r="E803" s="56" t="n"/>
      <c r="F803" s="17" t="n"/>
      <c r="G803" s="18">
        <f>IF(D803="Tandem",10,IF(D803="TT",22,IF(D803="Quad",25,"")))</f>
        <v/>
      </c>
      <c r="H803" s="19">
        <f>IFERROR(IF(F803*G803=0,0,F803*G803),0)</f>
        <v/>
      </c>
      <c r="I803" s="20" t="n"/>
      <c r="J803" s="57" t="n"/>
      <c r="K803" s="14" t="n"/>
      <c r="L803" s="22" t="n"/>
      <c r="M803" s="58" t="n"/>
      <c r="N803" s="22" t="n"/>
      <c r="O803" s="24">
        <f>IFERROR(IF(OR(M803="",M803=0),0,H803*VALUE(SUBSTITUTE(M803&amp;"","$",""))),0)</f>
        <v/>
      </c>
    </row>
    <row r="804" hidden="1" outlineLevel="1" ht="16" customHeight="1">
      <c r="A804" s="13" t="n"/>
      <c r="B804" s="25" t="n"/>
      <c r="C804" s="26" t="n"/>
      <c r="D804" s="56" t="n"/>
      <c r="E804" s="56" t="n"/>
      <c r="F804" s="27" t="n"/>
      <c r="G804" s="18">
        <f>IF(D804="Tandem",10,IF(D804="TT",22,IF(D804="Quad",25,"")))</f>
        <v/>
      </c>
      <c r="H804" s="28">
        <f>IFERROR(IF(F804*G804=0,0,F804*G804),0)</f>
        <v/>
      </c>
      <c r="I804" s="29" t="n"/>
      <c r="J804" s="57" t="n"/>
      <c r="K804" s="25" t="n"/>
      <c r="L804" s="30" t="n"/>
      <c r="M804" s="58" t="n"/>
      <c r="N804" s="30" t="n"/>
      <c r="O804" s="24">
        <f>IFERROR(IF(OR(M804="",M804=0),0,H804*VALUE(SUBSTITUTE(M804&amp;"","$",""))),0)</f>
        <v/>
      </c>
    </row>
    <row r="805" hidden="1" outlineLevel="1" ht="20" customHeight="1">
      <c r="A805" s="59" t="inlineStr">
        <is>
          <t>Daily Notes:</t>
        </is>
      </c>
      <c r="B805" s="54" t="n"/>
      <c r="C805" s="54" t="n"/>
      <c r="D805" s="54" t="n"/>
      <c r="E805" s="54" t="n"/>
      <c r="F805" s="54" t="n"/>
      <c r="G805" s="54" t="n"/>
      <c r="H805" s="54" t="n"/>
      <c r="I805" s="54" t="n"/>
      <c r="J805" s="54" t="n"/>
      <c r="K805" s="54" t="n"/>
      <c r="L805" s="54" t="n"/>
      <c r="M805" s="54" t="n"/>
      <c r="N805" s="50" t="n"/>
      <c r="O805" s="60" t="n"/>
    </row>
    <row r="806" hidden="1" outlineLevel="1" ht="18" customHeight="1">
      <c r="A806" s="32" t="inlineStr">
        <is>
          <t>DAILY TOTAL</t>
        </is>
      </c>
      <c r="B806" s="54" t="n"/>
      <c r="C806" s="54" t="n"/>
      <c r="D806" s="54" t="n"/>
      <c r="E806" s="54" t="n"/>
      <c r="F806" s="54" t="n"/>
      <c r="G806" s="50" t="n"/>
      <c r="H806" s="34">
        <f>SUM(H775:H804)</f>
        <v/>
      </c>
      <c r="I806" s="35">
        <f>SUM(I775:I804)</f>
        <v/>
      </c>
      <c r="J806" s="61" t="n"/>
      <c r="K806" s="61" t="n"/>
      <c r="L806" s="61" t="n"/>
      <c r="M806" s="36">
        <f>SUM(O775:O804)</f>
        <v/>
      </c>
      <c r="N806" s="61" t="n"/>
      <c r="O806" s="62" t="n"/>
    </row>
    <row r="807" hidden="1" outlineLevel="1" ht="18" customHeight="1">
      <c r="A807" s="2" t="inlineStr">
        <is>
          <t>▶ RUNNING TOTAL</t>
        </is>
      </c>
      <c r="B807" s="54" t="n"/>
      <c r="C807" s="54" t="n"/>
      <c r="D807" s="54" t="n"/>
      <c r="E807" s="54" t="n"/>
      <c r="F807" s="54" t="n"/>
      <c r="G807" s="50" t="n"/>
      <c r="H807" s="37">
        <f>H50+H86+H122+H158+H194+H230+H266+H302+H338+H374+H410+H446+H482+H518+H554+H590+H626+H662+H698+H734+H770+H806</f>
        <v/>
      </c>
      <c r="I807" s="63" t="n"/>
      <c r="J807" s="63" t="n"/>
      <c r="K807" s="63" t="n"/>
      <c r="L807" s="63" t="n"/>
      <c r="M807" s="38">
        <f>M50+M86+M122+M158+M194+M230+M266+M302+M338+M374+M410+M446+M482+M518+M554+M590+M626+M662+M698+M734+M770+M806</f>
        <v/>
      </c>
      <c r="N807" s="63" t="n"/>
      <c r="O807" s="64" t="n"/>
    </row>
    <row r="808" hidden="1" outlineLevel="1" ht="8" customHeight="1"/>
    <row r="809" ht="22" customHeight="1">
      <c r="A809" s="55" t="inlineStr">
        <is>
          <t>DAY 23</t>
        </is>
      </c>
      <c r="B809" s="54" t="n"/>
      <c r="C809" s="54" t="n"/>
      <c r="D809" s="54" t="n"/>
      <c r="E809" s="54" t="n"/>
      <c r="F809" s="54" t="n"/>
      <c r="G809" s="54" t="n"/>
      <c r="H809" s="54" t="n"/>
      <c r="I809" s="54" t="n"/>
      <c r="J809" s="54" t="n"/>
      <c r="K809" s="54" t="n"/>
      <c r="L809" s="54" t="n"/>
      <c r="M809" s="54" t="n"/>
      <c r="N809" s="50" t="n"/>
    </row>
    <row r="810" hidden="1" outlineLevel="1" ht="28" customHeight="1">
      <c r="A810" s="12" t="inlineStr">
        <is>
          <t>Date</t>
        </is>
      </c>
      <c r="B810" s="12" t="inlineStr">
        <is>
          <t>Cartage Company</t>
        </is>
      </c>
      <c r="C810" s="12" t="inlineStr">
        <is>
          <t>Truck Rego</t>
        </is>
      </c>
      <c r="D810" s="12" t="inlineStr">
        <is>
          <t>Truck Type</t>
        </is>
      </c>
      <c r="E810" s="12" t="inlineStr">
        <is>
          <t>Exp / Imp</t>
        </is>
      </c>
      <c r="F810" s="12" t="inlineStr">
        <is>
          <t>Loads</t>
        </is>
      </c>
      <c r="G810" s="12" t="inlineStr">
        <is>
          <t>m³ / Load</t>
        </is>
      </c>
      <c r="H810" s="12" t="inlineStr">
        <is>
          <t>Total m³</t>
        </is>
      </c>
      <c r="I810" s="12" t="inlineStr">
        <is>
          <t>Hours</t>
        </is>
      </c>
      <c r="J810" s="12" t="inlineStr">
        <is>
          <t>Material</t>
        </is>
      </c>
      <c r="K810" s="12" t="inlineStr">
        <is>
          <t>Tip Site</t>
        </is>
      </c>
      <c r="L810" s="12" t="inlineStr">
        <is>
          <t>Docket #</t>
        </is>
      </c>
      <c r="M810" s="12" t="inlineStr">
        <is>
          <t>Rate Paid ($/m³)</t>
        </is>
      </c>
      <c r="N810" s="12" t="inlineStr">
        <is>
          <t>Invoice #</t>
        </is>
      </c>
    </row>
    <row r="811" hidden="1" outlineLevel="1" ht="16" customHeight="1">
      <c r="A811" s="13" t="n"/>
      <c r="B811" s="14" t="n"/>
      <c r="C811" s="15" t="n"/>
      <c r="D811" s="56" t="n"/>
      <c r="E811" s="56" t="n"/>
      <c r="F811" s="17" t="n"/>
      <c r="G811" s="18">
        <f>IF(D811="Tandem",10,IF(D811="TT",22,IF(D811="Quad",25,"")))</f>
        <v/>
      </c>
      <c r="H811" s="19">
        <f>IFERROR(IF(F811*G811=0,0,F811*G811),0)</f>
        <v/>
      </c>
      <c r="I811" s="20" t="n"/>
      <c r="J811" s="57" t="n"/>
      <c r="K811" s="14" t="n"/>
      <c r="L811" s="22" t="n"/>
      <c r="M811" s="58" t="n"/>
      <c r="N811" s="22" t="n"/>
      <c r="O811" s="24">
        <f>IFERROR(IF(OR(M811="",M811=0),0,H811*VALUE(SUBSTITUTE(M811&amp;"","$",""))),0)</f>
        <v/>
      </c>
    </row>
    <row r="812" hidden="1" outlineLevel="1" ht="16" customHeight="1">
      <c r="A812" s="13" t="n"/>
      <c r="B812" s="25" t="n"/>
      <c r="C812" s="26" t="n"/>
      <c r="D812" s="56" t="n"/>
      <c r="E812" s="56" t="n"/>
      <c r="F812" s="27" t="n"/>
      <c r="G812" s="18">
        <f>IF(D812="Tandem",10,IF(D812="TT",22,IF(D812="Quad",25,"")))</f>
        <v/>
      </c>
      <c r="H812" s="28">
        <f>IFERROR(IF(F812*G812=0,0,F812*G812),0)</f>
        <v/>
      </c>
      <c r="I812" s="29" t="n"/>
      <c r="J812" s="57" t="n"/>
      <c r="K812" s="25" t="n"/>
      <c r="L812" s="30" t="n"/>
      <c r="M812" s="58" t="n"/>
      <c r="N812" s="30" t="n"/>
      <c r="O812" s="24">
        <f>IFERROR(IF(OR(M812="",M812=0),0,H812*VALUE(SUBSTITUTE(M812&amp;"","$",""))),0)</f>
        <v/>
      </c>
    </row>
    <row r="813" hidden="1" outlineLevel="1" ht="16" customHeight="1">
      <c r="A813" s="13" t="n"/>
      <c r="B813" s="14" t="n"/>
      <c r="C813" s="15" t="n"/>
      <c r="D813" s="56" t="n"/>
      <c r="E813" s="56" t="n"/>
      <c r="F813" s="17" t="n"/>
      <c r="G813" s="18">
        <f>IF(D813="Tandem",10,IF(D813="TT",22,IF(D813="Quad",25,"")))</f>
        <v/>
      </c>
      <c r="H813" s="19">
        <f>IFERROR(IF(F813*G813=0,0,F813*G813),0)</f>
        <v/>
      </c>
      <c r="I813" s="20" t="n"/>
      <c r="J813" s="57" t="n"/>
      <c r="K813" s="14" t="n"/>
      <c r="L813" s="22" t="n"/>
      <c r="M813" s="58" t="n"/>
      <c r="N813" s="22" t="n"/>
      <c r="O813" s="24">
        <f>IFERROR(IF(OR(M813="",M813=0),0,H813*VALUE(SUBSTITUTE(M813&amp;"","$",""))),0)</f>
        <v/>
      </c>
    </row>
    <row r="814" hidden="1" outlineLevel="1" ht="16" customHeight="1">
      <c r="A814" s="13" t="n"/>
      <c r="B814" s="25" t="n"/>
      <c r="C814" s="26" t="n"/>
      <c r="D814" s="56" t="n"/>
      <c r="E814" s="56" t="n"/>
      <c r="F814" s="27" t="n"/>
      <c r="G814" s="18">
        <f>IF(D814="Tandem",10,IF(D814="TT",22,IF(D814="Quad",25,"")))</f>
        <v/>
      </c>
      <c r="H814" s="28">
        <f>IFERROR(IF(F814*G814=0,0,F814*G814),0)</f>
        <v/>
      </c>
      <c r="I814" s="29" t="n"/>
      <c r="J814" s="57" t="n"/>
      <c r="K814" s="25" t="n"/>
      <c r="L814" s="30" t="n"/>
      <c r="M814" s="58" t="n"/>
      <c r="N814" s="30" t="n"/>
      <c r="O814" s="24">
        <f>IFERROR(IF(OR(M814="",M814=0),0,H814*VALUE(SUBSTITUTE(M814&amp;"","$",""))),0)</f>
        <v/>
      </c>
    </row>
    <row r="815" hidden="1" outlineLevel="1" ht="16" customHeight="1">
      <c r="A815" s="13" t="n"/>
      <c r="B815" s="14" t="n"/>
      <c r="C815" s="15" t="n"/>
      <c r="D815" s="56" t="n"/>
      <c r="E815" s="56" t="n"/>
      <c r="F815" s="17" t="n"/>
      <c r="G815" s="18">
        <f>IF(D815="Tandem",10,IF(D815="TT",22,IF(D815="Quad",25,"")))</f>
        <v/>
      </c>
      <c r="H815" s="19">
        <f>IFERROR(IF(F815*G815=0,0,F815*G815),0)</f>
        <v/>
      </c>
      <c r="I815" s="20" t="n"/>
      <c r="J815" s="57" t="n"/>
      <c r="K815" s="14" t="n"/>
      <c r="L815" s="22" t="n"/>
      <c r="M815" s="58" t="n"/>
      <c r="N815" s="22" t="n"/>
      <c r="O815" s="24">
        <f>IFERROR(IF(OR(M815="",M815=0),0,H815*VALUE(SUBSTITUTE(M815&amp;"","$",""))),0)</f>
        <v/>
      </c>
    </row>
    <row r="816" hidden="1" outlineLevel="1" ht="16" customHeight="1">
      <c r="A816" s="13" t="n"/>
      <c r="B816" s="25" t="n"/>
      <c r="C816" s="26" t="n"/>
      <c r="D816" s="56" t="n"/>
      <c r="E816" s="56" t="n"/>
      <c r="F816" s="27" t="n"/>
      <c r="G816" s="18">
        <f>IF(D816="Tandem",10,IF(D816="TT",22,IF(D816="Quad",25,"")))</f>
        <v/>
      </c>
      <c r="H816" s="28">
        <f>IFERROR(IF(F816*G816=0,0,F816*G816),0)</f>
        <v/>
      </c>
      <c r="I816" s="29" t="n"/>
      <c r="J816" s="57" t="n"/>
      <c r="K816" s="25" t="n"/>
      <c r="L816" s="30" t="n"/>
      <c r="M816" s="58" t="n"/>
      <c r="N816" s="30" t="n"/>
      <c r="O816" s="24">
        <f>IFERROR(IF(OR(M816="",M816=0),0,H816*VALUE(SUBSTITUTE(M816&amp;"","$",""))),0)</f>
        <v/>
      </c>
    </row>
    <row r="817" hidden="1" outlineLevel="1" ht="16" customHeight="1">
      <c r="A817" s="13" t="n"/>
      <c r="B817" s="14" t="n"/>
      <c r="C817" s="15" t="n"/>
      <c r="D817" s="56" t="n"/>
      <c r="E817" s="56" t="n"/>
      <c r="F817" s="17" t="n"/>
      <c r="G817" s="18">
        <f>IF(D817="Tandem",10,IF(D817="TT",22,IF(D817="Quad",25,"")))</f>
        <v/>
      </c>
      <c r="H817" s="19">
        <f>IFERROR(IF(F817*G817=0,0,F817*G817),0)</f>
        <v/>
      </c>
      <c r="I817" s="20" t="n"/>
      <c r="J817" s="57" t="n"/>
      <c r="K817" s="14" t="n"/>
      <c r="L817" s="22" t="n"/>
      <c r="M817" s="58" t="n"/>
      <c r="N817" s="22" t="n"/>
      <c r="O817" s="24">
        <f>IFERROR(IF(OR(M817="",M817=0),0,H817*VALUE(SUBSTITUTE(M817&amp;"","$",""))),0)</f>
        <v/>
      </c>
    </row>
    <row r="818" hidden="1" outlineLevel="1" ht="16" customHeight="1">
      <c r="A818" s="13" t="n"/>
      <c r="B818" s="25" t="n"/>
      <c r="C818" s="26" t="n"/>
      <c r="D818" s="56" t="n"/>
      <c r="E818" s="56" t="n"/>
      <c r="F818" s="27" t="n"/>
      <c r="G818" s="18">
        <f>IF(D818="Tandem",10,IF(D818="TT",22,IF(D818="Quad",25,"")))</f>
        <v/>
      </c>
      <c r="H818" s="28">
        <f>IFERROR(IF(F818*G818=0,0,F818*G818),0)</f>
        <v/>
      </c>
      <c r="I818" s="29" t="n"/>
      <c r="J818" s="57" t="n"/>
      <c r="K818" s="25" t="n"/>
      <c r="L818" s="30" t="n"/>
      <c r="M818" s="58" t="n"/>
      <c r="N818" s="30" t="n"/>
      <c r="O818" s="24">
        <f>IFERROR(IF(OR(M818="",M818=0),0,H818*VALUE(SUBSTITUTE(M818&amp;"","$",""))),0)</f>
        <v/>
      </c>
    </row>
    <row r="819" hidden="1" outlineLevel="1" ht="16" customHeight="1">
      <c r="A819" s="13" t="n"/>
      <c r="B819" s="14" t="n"/>
      <c r="C819" s="15" t="n"/>
      <c r="D819" s="56" t="n"/>
      <c r="E819" s="56" t="n"/>
      <c r="F819" s="17" t="n"/>
      <c r="G819" s="18">
        <f>IF(D819="Tandem",10,IF(D819="TT",22,IF(D819="Quad",25,"")))</f>
        <v/>
      </c>
      <c r="H819" s="19">
        <f>IFERROR(IF(F819*G819=0,0,F819*G819),0)</f>
        <v/>
      </c>
      <c r="I819" s="20" t="n"/>
      <c r="J819" s="57" t="n"/>
      <c r="K819" s="14" t="n"/>
      <c r="L819" s="22" t="n"/>
      <c r="M819" s="58" t="n"/>
      <c r="N819" s="22" t="n"/>
      <c r="O819" s="24">
        <f>IFERROR(IF(OR(M819="",M819=0),0,H819*VALUE(SUBSTITUTE(M819&amp;"","$",""))),0)</f>
        <v/>
      </c>
    </row>
    <row r="820" hidden="1" outlineLevel="1" ht="16" customHeight="1">
      <c r="A820" s="13" t="n"/>
      <c r="B820" s="25" t="n"/>
      <c r="C820" s="26" t="n"/>
      <c r="D820" s="56" t="n"/>
      <c r="E820" s="56" t="n"/>
      <c r="F820" s="27" t="n"/>
      <c r="G820" s="18">
        <f>IF(D820="Tandem",10,IF(D820="TT",22,IF(D820="Quad",25,"")))</f>
        <v/>
      </c>
      <c r="H820" s="28">
        <f>IFERROR(IF(F820*G820=0,0,F820*G820),0)</f>
        <v/>
      </c>
      <c r="I820" s="29" t="n"/>
      <c r="J820" s="57" t="n"/>
      <c r="K820" s="25" t="n"/>
      <c r="L820" s="30" t="n"/>
      <c r="M820" s="58" t="n"/>
      <c r="N820" s="30" t="n"/>
      <c r="O820" s="24">
        <f>IFERROR(IF(OR(M820="",M820=0),0,H820*VALUE(SUBSTITUTE(M820&amp;"","$",""))),0)</f>
        <v/>
      </c>
    </row>
    <row r="821" hidden="1" outlineLevel="1" ht="16" customHeight="1">
      <c r="A821" s="13" t="n"/>
      <c r="B821" s="14" t="n"/>
      <c r="C821" s="15" t="n"/>
      <c r="D821" s="56" t="n"/>
      <c r="E821" s="56" t="n"/>
      <c r="F821" s="17" t="n"/>
      <c r="G821" s="18">
        <f>IF(D821="Tandem",10,IF(D821="TT",22,IF(D821="Quad",25,"")))</f>
        <v/>
      </c>
      <c r="H821" s="19">
        <f>IFERROR(IF(F821*G821=0,0,F821*G821),0)</f>
        <v/>
      </c>
      <c r="I821" s="20" t="n"/>
      <c r="J821" s="57" t="n"/>
      <c r="K821" s="14" t="n"/>
      <c r="L821" s="22" t="n"/>
      <c r="M821" s="58" t="n"/>
      <c r="N821" s="22" t="n"/>
      <c r="O821" s="24">
        <f>IFERROR(IF(OR(M821="",M821=0),0,H821*VALUE(SUBSTITUTE(M821&amp;"","$",""))),0)</f>
        <v/>
      </c>
    </row>
    <row r="822" hidden="1" outlineLevel="1" ht="16" customHeight="1">
      <c r="A822" s="13" t="n"/>
      <c r="B822" s="25" t="n"/>
      <c r="C822" s="26" t="n"/>
      <c r="D822" s="56" t="n"/>
      <c r="E822" s="56" t="n"/>
      <c r="F822" s="27" t="n"/>
      <c r="G822" s="18">
        <f>IF(D822="Tandem",10,IF(D822="TT",22,IF(D822="Quad",25,"")))</f>
        <v/>
      </c>
      <c r="H822" s="28">
        <f>IFERROR(IF(F822*G822=0,0,F822*G822),0)</f>
        <v/>
      </c>
      <c r="I822" s="29" t="n"/>
      <c r="J822" s="57" t="n"/>
      <c r="K822" s="25" t="n"/>
      <c r="L822" s="30" t="n"/>
      <c r="M822" s="58" t="n"/>
      <c r="N822" s="30" t="n"/>
      <c r="O822" s="24">
        <f>IFERROR(IF(OR(M822="",M822=0),0,H822*VALUE(SUBSTITUTE(M822&amp;"","$",""))),0)</f>
        <v/>
      </c>
    </row>
    <row r="823" hidden="1" outlineLevel="1" ht="16" customHeight="1">
      <c r="A823" s="13" t="n"/>
      <c r="B823" s="14" t="n"/>
      <c r="C823" s="15" t="n"/>
      <c r="D823" s="56" t="n"/>
      <c r="E823" s="56" t="n"/>
      <c r="F823" s="17" t="n"/>
      <c r="G823" s="18">
        <f>IF(D823="Tandem",10,IF(D823="TT",22,IF(D823="Quad",25,"")))</f>
        <v/>
      </c>
      <c r="H823" s="19">
        <f>IFERROR(IF(F823*G823=0,0,F823*G823),0)</f>
        <v/>
      </c>
      <c r="I823" s="20" t="n"/>
      <c r="J823" s="57" t="n"/>
      <c r="K823" s="14" t="n"/>
      <c r="L823" s="22" t="n"/>
      <c r="M823" s="58" t="n"/>
      <c r="N823" s="22" t="n"/>
      <c r="O823" s="24">
        <f>IFERROR(IF(OR(M823="",M823=0),0,H823*VALUE(SUBSTITUTE(M823&amp;"","$",""))),0)</f>
        <v/>
      </c>
    </row>
    <row r="824" hidden="1" outlineLevel="1" ht="16" customHeight="1">
      <c r="A824" s="13" t="n"/>
      <c r="B824" s="25" t="n"/>
      <c r="C824" s="26" t="n"/>
      <c r="D824" s="56" t="n"/>
      <c r="E824" s="56" t="n"/>
      <c r="F824" s="27" t="n"/>
      <c r="G824" s="18">
        <f>IF(D824="Tandem",10,IF(D824="TT",22,IF(D824="Quad",25,"")))</f>
        <v/>
      </c>
      <c r="H824" s="28">
        <f>IFERROR(IF(F824*G824=0,0,F824*G824),0)</f>
        <v/>
      </c>
      <c r="I824" s="29" t="n"/>
      <c r="J824" s="57" t="n"/>
      <c r="K824" s="25" t="n"/>
      <c r="L824" s="30" t="n"/>
      <c r="M824" s="58" t="n"/>
      <c r="N824" s="30" t="n"/>
      <c r="O824" s="24">
        <f>IFERROR(IF(OR(M824="",M824=0),0,H824*VALUE(SUBSTITUTE(M824&amp;"","$",""))),0)</f>
        <v/>
      </c>
    </row>
    <row r="825" hidden="1" outlineLevel="1" ht="16" customHeight="1">
      <c r="A825" s="13" t="n"/>
      <c r="B825" s="14" t="n"/>
      <c r="C825" s="15" t="n"/>
      <c r="D825" s="56" t="n"/>
      <c r="E825" s="56" t="n"/>
      <c r="F825" s="17" t="n"/>
      <c r="G825" s="18">
        <f>IF(D825="Tandem",10,IF(D825="TT",22,IF(D825="Quad",25,"")))</f>
        <v/>
      </c>
      <c r="H825" s="19">
        <f>IFERROR(IF(F825*G825=0,0,F825*G825),0)</f>
        <v/>
      </c>
      <c r="I825" s="20" t="n"/>
      <c r="J825" s="57" t="n"/>
      <c r="K825" s="14" t="n"/>
      <c r="L825" s="22" t="n"/>
      <c r="M825" s="58" t="n"/>
      <c r="N825" s="22" t="n"/>
      <c r="O825" s="24">
        <f>IFERROR(IF(OR(M825="",M825=0),0,H825*VALUE(SUBSTITUTE(M825&amp;"","$",""))),0)</f>
        <v/>
      </c>
    </row>
    <row r="826" hidden="1" outlineLevel="1" ht="16" customHeight="1">
      <c r="A826" s="13" t="n"/>
      <c r="B826" s="25" t="n"/>
      <c r="C826" s="26" t="n"/>
      <c r="D826" s="56" t="n"/>
      <c r="E826" s="56" t="n"/>
      <c r="F826" s="27" t="n"/>
      <c r="G826" s="18">
        <f>IF(D826="Tandem",10,IF(D826="TT",22,IF(D826="Quad",25,"")))</f>
        <v/>
      </c>
      <c r="H826" s="28">
        <f>IFERROR(IF(F826*G826=0,0,F826*G826),0)</f>
        <v/>
      </c>
      <c r="I826" s="29" t="n"/>
      <c r="J826" s="57" t="n"/>
      <c r="K826" s="25" t="n"/>
      <c r="L826" s="30" t="n"/>
      <c r="M826" s="58" t="n"/>
      <c r="N826" s="30" t="n"/>
      <c r="O826" s="24">
        <f>IFERROR(IF(OR(M826="",M826=0),0,H826*VALUE(SUBSTITUTE(M826&amp;"","$",""))),0)</f>
        <v/>
      </c>
    </row>
    <row r="827" hidden="1" outlineLevel="1" ht="16" customHeight="1">
      <c r="A827" s="13" t="n"/>
      <c r="B827" s="14" t="n"/>
      <c r="C827" s="15" t="n"/>
      <c r="D827" s="56" t="n"/>
      <c r="E827" s="56" t="n"/>
      <c r="F827" s="17" t="n"/>
      <c r="G827" s="18">
        <f>IF(D827="Tandem",10,IF(D827="TT",22,IF(D827="Quad",25,"")))</f>
        <v/>
      </c>
      <c r="H827" s="19">
        <f>IFERROR(IF(F827*G827=0,0,F827*G827),0)</f>
        <v/>
      </c>
      <c r="I827" s="20" t="n"/>
      <c r="J827" s="57" t="n"/>
      <c r="K827" s="14" t="n"/>
      <c r="L827" s="22" t="n"/>
      <c r="M827" s="58" t="n"/>
      <c r="N827" s="22" t="n"/>
      <c r="O827" s="24">
        <f>IFERROR(IF(OR(M827="",M827=0),0,H827*VALUE(SUBSTITUTE(M827&amp;"","$",""))),0)</f>
        <v/>
      </c>
    </row>
    <row r="828" hidden="1" outlineLevel="1" ht="16" customHeight="1">
      <c r="A828" s="13" t="n"/>
      <c r="B828" s="25" t="n"/>
      <c r="C828" s="26" t="n"/>
      <c r="D828" s="56" t="n"/>
      <c r="E828" s="56" t="n"/>
      <c r="F828" s="27" t="n"/>
      <c r="G828" s="18">
        <f>IF(D828="Tandem",10,IF(D828="TT",22,IF(D828="Quad",25,"")))</f>
        <v/>
      </c>
      <c r="H828" s="28">
        <f>IFERROR(IF(F828*G828=0,0,F828*G828),0)</f>
        <v/>
      </c>
      <c r="I828" s="29" t="n"/>
      <c r="J828" s="57" t="n"/>
      <c r="K828" s="25" t="n"/>
      <c r="L828" s="30" t="n"/>
      <c r="M828" s="58" t="n"/>
      <c r="N828" s="30" t="n"/>
      <c r="O828" s="24">
        <f>IFERROR(IF(OR(M828="",M828=0),0,H828*VALUE(SUBSTITUTE(M828&amp;"","$",""))),0)</f>
        <v/>
      </c>
    </row>
    <row r="829" hidden="1" outlineLevel="1" ht="16" customHeight="1">
      <c r="A829" s="13" t="n"/>
      <c r="B829" s="14" t="n"/>
      <c r="C829" s="15" t="n"/>
      <c r="D829" s="56" t="n"/>
      <c r="E829" s="56" t="n"/>
      <c r="F829" s="17" t="n"/>
      <c r="G829" s="18">
        <f>IF(D829="Tandem",10,IF(D829="TT",22,IF(D829="Quad",25,"")))</f>
        <v/>
      </c>
      <c r="H829" s="19">
        <f>IFERROR(IF(F829*G829=0,0,F829*G829),0)</f>
        <v/>
      </c>
      <c r="I829" s="20" t="n"/>
      <c r="J829" s="57" t="n"/>
      <c r="K829" s="14" t="n"/>
      <c r="L829" s="22" t="n"/>
      <c r="M829" s="58" t="n"/>
      <c r="N829" s="22" t="n"/>
      <c r="O829" s="24">
        <f>IFERROR(IF(OR(M829="",M829=0),0,H829*VALUE(SUBSTITUTE(M829&amp;"","$",""))),0)</f>
        <v/>
      </c>
    </row>
    <row r="830" hidden="1" outlineLevel="1" ht="16" customHeight="1">
      <c r="A830" s="13" t="n"/>
      <c r="B830" s="25" t="n"/>
      <c r="C830" s="26" t="n"/>
      <c r="D830" s="56" t="n"/>
      <c r="E830" s="56" t="n"/>
      <c r="F830" s="27" t="n"/>
      <c r="G830" s="18">
        <f>IF(D830="Tandem",10,IF(D830="TT",22,IF(D830="Quad",25,"")))</f>
        <v/>
      </c>
      <c r="H830" s="28">
        <f>IFERROR(IF(F830*G830=0,0,F830*G830),0)</f>
        <v/>
      </c>
      <c r="I830" s="29" t="n"/>
      <c r="J830" s="57" t="n"/>
      <c r="K830" s="25" t="n"/>
      <c r="L830" s="30" t="n"/>
      <c r="M830" s="58" t="n"/>
      <c r="N830" s="30" t="n"/>
      <c r="O830" s="24">
        <f>IFERROR(IF(OR(M830="",M830=0),0,H830*VALUE(SUBSTITUTE(M830&amp;"","$",""))),0)</f>
        <v/>
      </c>
    </row>
    <row r="831" hidden="1" outlineLevel="1" ht="16" customHeight="1">
      <c r="A831" s="13" t="n"/>
      <c r="B831" s="14" t="n"/>
      <c r="C831" s="15" t="n"/>
      <c r="D831" s="56" t="n"/>
      <c r="E831" s="56" t="n"/>
      <c r="F831" s="17" t="n"/>
      <c r="G831" s="18">
        <f>IF(D831="Tandem",10,IF(D831="TT",22,IF(D831="Quad",25,"")))</f>
        <v/>
      </c>
      <c r="H831" s="19">
        <f>IFERROR(IF(F831*G831=0,0,F831*G831),0)</f>
        <v/>
      </c>
      <c r="I831" s="20" t="n"/>
      <c r="J831" s="57" t="n"/>
      <c r="K831" s="14" t="n"/>
      <c r="L831" s="22" t="n"/>
      <c r="M831" s="58" t="n"/>
      <c r="N831" s="22" t="n"/>
      <c r="O831" s="24">
        <f>IFERROR(IF(OR(M831="",M831=0),0,H831*VALUE(SUBSTITUTE(M831&amp;"","$",""))),0)</f>
        <v/>
      </c>
    </row>
    <row r="832" hidden="1" outlineLevel="1" ht="16" customHeight="1">
      <c r="A832" s="13" t="n"/>
      <c r="B832" s="25" t="n"/>
      <c r="C832" s="26" t="n"/>
      <c r="D832" s="56" t="n"/>
      <c r="E832" s="56" t="n"/>
      <c r="F832" s="27" t="n"/>
      <c r="G832" s="18">
        <f>IF(D832="Tandem",10,IF(D832="TT",22,IF(D832="Quad",25,"")))</f>
        <v/>
      </c>
      <c r="H832" s="28">
        <f>IFERROR(IF(F832*G832=0,0,F832*G832),0)</f>
        <v/>
      </c>
      <c r="I832" s="29" t="n"/>
      <c r="J832" s="57" t="n"/>
      <c r="K832" s="25" t="n"/>
      <c r="L832" s="30" t="n"/>
      <c r="M832" s="58" t="n"/>
      <c r="N832" s="30" t="n"/>
      <c r="O832" s="24">
        <f>IFERROR(IF(OR(M832="",M832=0),0,H832*VALUE(SUBSTITUTE(M832&amp;"","$",""))),0)</f>
        <v/>
      </c>
    </row>
    <row r="833" hidden="1" outlineLevel="1" ht="16" customHeight="1">
      <c r="A833" s="13" t="n"/>
      <c r="B833" s="14" t="n"/>
      <c r="C833" s="15" t="n"/>
      <c r="D833" s="56" t="n"/>
      <c r="E833" s="56" t="n"/>
      <c r="F833" s="17" t="n"/>
      <c r="G833" s="18">
        <f>IF(D833="Tandem",10,IF(D833="TT",22,IF(D833="Quad",25,"")))</f>
        <v/>
      </c>
      <c r="H833" s="19">
        <f>IFERROR(IF(F833*G833=0,0,F833*G833),0)</f>
        <v/>
      </c>
      <c r="I833" s="20" t="n"/>
      <c r="J833" s="57" t="n"/>
      <c r="K833" s="14" t="n"/>
      <c r="L833" s="22" t="n"/>
      <c r="M833" s="58" t="n"/>
      <c r="N833" s="22" t="n"/>
      <c r="O833" s="24">
        <f>IFERROR(IF(OR(M833="",M833=0),0,H833*VALUE(SUBSTITUTE(M833&amp;"","$",""))),0)</f>
        <v/>
      </c>
    </row>
    <row r="834" hidden="1" outlineLevel="1" ht="16" customHeight="1">
      <c r="A834" s="13" t="n"/>
      <c r="B834" s="25" t="n"/>
      <c r="C834" s="26" t="n"/>
      <c r="D834" s="56" t="n"/>
      <c r="E834" s="56" t="n"/>
      <c r="F834" s="27" t="n"/>
      <c r="G834" s="18">
        <f>IF(D834="Tandem",10,IF(D834="TT",22,IF(D834="Quad",25,"")))</f>
        <v/>
      </c>
      <c r="H834" s="28">
        <f>IFERROR(IF(F834*G834=0,0,F834*G834),0)</f>
        <v/>
      </c>
      <c r="I834" s="29" t="n"/>
      <c r="J834" s="57" t="n"/>
      <c r="K834" s="25" t="n"/>
      <c r="L834" s="30" t="n"/>
      <c r="M834" s="58" t="n"/>
      <c r="N834" s="30" t="n"/>
      <c r="O834" s="24">
        <f>IFERROR(IF(OR(M834="",M834=0),0,H834*VALUE(SUBSTITUTE(M834&amp;"","$",""))),0)</f>
        <v/>
      </c>
    </row>
    <row r="835" hidden="1" outlineLevel="1" ht="16" customHeight="1">
      <c r="A835" s="13" t="n"/>
      <c r="B835" s="14" t="n"/>
      <c r="C835" s="15" t="n"/>
      <c r="D835" s="56" t="n"/>
      <c r="E835" s="56" t="n"/>
      <c r="F835" s="17" t="n"/>
      <c r="G835" s="18">
        <f>IF(D835="Tandem",10,IF(D835="TT",22,IF(D835="Quad",25,"")))</f>
        <v/>
      </c>
      <c r="H835" s="19">
        <f>IFERROR(IF(F835*G835=0,0,F835*G835),0)</f>
        <v/>
      </c>
      <c r="I835" s="20" t="n"/>
      <c r="J835" s="57" t="n"/>
      <c r="K835" s="14" t="n"/>
      <c r="L835" s="22" t="n"/>
      <c r="M835" s="58" t="n"/>
      <c r="N835" s="22" t="n"/>
      <c r="O835" s="24">
        <f>IFERROR(IF(OR(M835="",M835=0),0,H835*VALUE(SUBSTITUTE(M835&amp;"","$",""))),0)</f>
        <v/>
      </c>
    </row>
    <row r="836" hidden="1" outlineLevel="1" ht="16" customHeight="1">
      <c r="A836" s="13" t="n"/>
      <c r="B836" s="25" t="n"/>
      <c r="C836" s="26" t="n"/>
      <c r="D836" s="56" t="n"/>
      <c r="E836" s="56" t="n"/>
      <c r="F836" s="27" t="n"/>
      <c r="G836" s="18">
        <f>IF(D836="Tandem",10,IF(D836="TT",22,IF(D836="Quad",25,"")))</f>
        <v/>
      </c>
      <c r="H836" s="28">
        <f>IFERROR(IF(F836*G836=0,0,F836*G836),0)</f>
        <v/>
      </c>
      <c r="I836" s="29" t="n"/>
      <c r="J836" s="57" t="n"/>
      <c r="K836" s="25" t="n"/>
      <c r="L836" s="30" t="n"/>
      <c r="M836" s="58" t="n"/>
      <c r="N836" s="30" t="n"/>
      <c r="O836" s="24">
        <f>IFERROR(IF(OR(M836="",M836=0),0,H836*VALUE(SUBSTITUTE(M836&amp;"","$",""))),0)</f>
        <v/>
      </c>
    </row>
    <row r="837" hidden="1" outlineLevel="1" ht="16" customHeight="1">
      <c r="A837" s="13" t="n"/>
      <c r="B837" s="14" t="n"/>
      <c r="C837" s="15" t="n"/>
      <c r="D837" s="56" t="n"/>
      <c r="E837" s="56" t="n"/>
      <c r="F837" s="17" t="n"/>
      <c r="G837" s="18">
        <f>IF(D837="Tandem",10,IF(D837="TT",22,IF(D837="Quad",25,"")))</f>
        <v/>
      </c>
      <c r="H837" s="19">
        <f>IFERROR(IF(F837*G837=0,0,F837*G837),0)</f>
        <v/>
      </c>
      <c r="I837" s="20" t="n"/>
      <c r="J837" s="57" t="n"/>
      <c r="K837" s="14" t="n"/>
      <c r="L837" s="22" t="n"/>
      <c r="M837" s="58" t="n"/>
      <c r="N837" s="22" t="n"/>
      <c r="O837" s="24">
        <f>IFERROR(IF(OR(M837="",M837=0),0,H837*VALUE(SUBSTITUTE(M837&amp;"","$",""))),0)</f>
        <v/>
      </c>
    </row>
    <row r="838" hidden="1" outlineLevel="1" ht="16" customHeight="1">
      <c r="A838" s="13" t="n"/>
      <c r="B838" s="25" t="n"/>
      <c r="C838" s="26" t="n"/>
      <c r="D838" s="56" t="n"/>
      <c r="E838" s="56" t="n"/>
      <c r="F838" s="27" t="n"/>
      <c r="G838" s="18">
        <f>IF(D838="Tandem",10,IF(D838="TT",22,IF(D838="Quad",25,"")))</f>
        <v/>
      </c>
      <c r="H838" s="28">
        <f>IFERROR(IF(F838*G838=0,0,F838*G838),0)</f>
        <v/>
      </c>
      <c r="I838" s="29" t="n"/>
      <c r="J838" s="57" t="n"/>
      <c r="K838" s="25" t="n"/>
      <c r="L838" s="30" t="n"/>
      <c r="M838" s="58" t="n"/>
      <c r="N838" s="30" t="n"/>
      <c r="O838" s="24">
        <f>IFERROR(IF(OR(M838="",M838=0),0,H838*VALUE(SUBSTITUTE(M838&amp;"","$",""))),0)</f>
        <v/>
      </c>
    </row>
    <row r="839" hidden="1" outlineLevel="1" ht="16" customHeight="1">
      <c r="A839" s="13" t="n"/>
      <c r="B839" s="14" t="n"/>
      <c r="C839" s="15" t="n"/>
      <c r="D839" s="56" t="n"/>
      <c r="E839" s="56" t="n"/>
      <c r="F839" s="17" t="n"/>
      <c r="G839" s="18">
        <f>IF(D839="Tandem",10,IF(D839="TT",22,IF(D839="Quad",25,"")))</f>
        <v/>
      </c>
      <c r="H839" s="19">
        <f>IFERROR(IF(F839*G839=0,0,F839*G839),0)</f>
        <v/>
      </c>
      <c r="I839" s="20" t="n"/>
      <c r="J839" s="57" t="n"/>
      <c r="K839" s="14" t="n"/>
      <c r="L839" s="22" t="n"/>
      <c r="M839" s="58" t="n"/>
      <c r="N839" s="22" t="n"/>
      <c r="O839" s="24">
        <f>IFERROR(IF(OR(M839="",M839=0),0,H839*VALUE(SUBSTITUTE(M839&amp;"","$",""))),0)</f>
        <v/>
      </c>
    </row>
    <row r="840" hidden="1" outlineLevel="1" ht="16" customHeight="1">
      <c r="A840" s="13" t="n"/>
      <c r="B840" s="25" t="n"/>
      <c r="C840" s="26" t="n"/>
      <c r="D840" s="56" t="n"/>
      <c r="E840" s="56" t="n"/>
      <c r="F840" s="27" t="n"/>
      <c r="G840" s="18">
        <f>IF(D840="Tandem",10,IF(D840="TT",22,IF(D840="Quad",25,"")))</f>
        <v/>
      </c>
      <c r="H840" s="28">
        <f>IFERROR(IF(F840*G840=0,0,F840*G840),0)</f>
        <v/>
      </c>
      <c r="I840" s="29" t="n"/>
      <c r="J840" s="57" t="n"/>
      <c r="K840" s="25" t="n"/>
      <c r="L840" s="30" t="n"/>
      <c r="M840" s="58" t="n"/>
      <c r="N840" s="30" t="n"/>
      <c r="O840" s="24">
        <f>IFERROR(IF(OR(M840="",M840=0),0,H840*VALUE(SUBSTITUTE(M840&amp;"","$",""))),0)</f>
        <v/>
      </c>
    </row>
    <row r="841" hidden="1" outlineLevel="1" ht="20" customHeight="1">
      <c r="A841" s="59" t="inlineStr">
        <is>
          <t>Daily Notes:</t>
        </is>
      </c>
      <c r="B841" s="54" t="n"/>
      <c r="C841" s="54" t="n"/>
      <c r="D841" s="54" t="n"/>
      <c r="E841" s="54" t="n"/>
      <c r="F841" s="54" t="n"/>
      <c r="G841" s="54" t="n"/>
      <c r="H841" s="54" t="n"/>
      <c r="I841" s="54" t="n"/>
      <c r="J841" s="54" t="n"/>
      <c r="K841" s="54" t="n"/>
      <c r="L841" s="54" t="n"/>
      <c r="M841" s="54" t="n"/>
      <c r="N841" s="50" t="n"/>
      <c r="O841" s="60" t="n"/>
    </row>
    <row r="842" hidden="1" outlineLevel="1" ht="18" customHeight="1">
      <c r="A842" s="32" t="inlineStr">
        <is>
          <t>DAILY TOTAL</t>
        </is>
      </c>
      <c r="B842" s="54" t="n"/>
      <c r="C842" s="54" t="n"/>
      <c r="D842" s="54" t="n"/>
      <c r="E842" s="54" t="n"/>
      <c r="F842" s="54" t="n"/>
      <c r="G842" s="50" t="n"/>
      <c r="H842" s="34">
        <f>SUM(H811:H840)</f>
        <v/>
      </c>
      <c r="I842" s="35">
        <f>SUM(I811:I840)</f>
        <v/>
      </c>
      <c r="J842" s="61" t="n"/>
      <c r="K842" s="61" t="n"/>
      <c r="L842" s="61" t="n"/>
      <c r="M842" s="36">
        <f>SUM(O811:O840)</f>
        <v/>
      </c>
      <c r="N842" s="61" t="n"/>
      <c r="O842" s="62" t="n"/>
    </row>
    <row r="843" hidden="1" outlineLevel="1" ht="18" customHeight="1">
      <c r="A843" s="2" t="inlineStr">
        <is>
          <t>▶ RUNNING TOTAL</t>
        </is>
      </c>
      <c r="B843" s="54" t="n"/>
      <c r="C843" s="54" t="n"/>
      <c r="D843" s="54" t="n"/>
      <c r="E843" s="54" t="n"/>
      <c r="F843" s="54" t="n"/>
      <c r="G843" s="50" t="n"/>
      <c r="H843" s="37">
        <f>H50+H86+H122+H158+H194+H230+H266+H302+H338+H374+H410+H446+H482+H518+H554+H590+H626+H662+H698+H734+H770+H806+H842</f>
        <v/>
      </c>
      <c r="I843" s="63" t="n"/>
      <c r="J843" s="63" t="n"/>
      <c r="K843" s="63" t="n"/>
      <c r="L843" s="63" t="n"/>
      <c r="M843" s="38">
        <f>M50+M86+M122+M158+M194+M230+M266+M302+M338+M374+M410+M446+M482+M518+M554+M590+M626+M662+M698+M734+M770+M806+M842</f>
        <v/>
      </c>
      <c r="N843" s="63" t="n"/>
      <c r="O843" s="64" t="n"/>
    </row>
    <row r="844" hidden="1" outlineLevel="1" ht="8" customHeight="1"/>
    <row r="845" ht="22" customHeight="1">
      <c r="A845" s="55" t="inlineStr">
        <is>
          <t>DAY 24</t>
        </is>
      </c>
      <c r="B845" s="54" t="n"/>
      <c r="C845" s="54" t="n"/>
      <c r="D845" s="54" t="n"/>
      <c r="E845" s="54" t="n"/>
      <c r="F845" s="54" t="n"/>
      <c r="G845" s="54" t="n"/>
      <c r="H845" s="54" t="n"/>
      <c r="I845" s="54" t="n"/>
      <c r="J845" s="54" t="n"/>
      <c r="K845" s="54" t="n"/>
      <c r="L845" s="54" t="n"/>
      <c r="M845" s="54" t="n"/>
      <c r="N845" s="50" t="n"/>
    </row>
    <row r="846" hidden="1" outlineLevel="1" ht="28" customHeight="1">
      <c r="A846" s="12" t="inlineStr">
        <is>
          <t>Date</t>
        </is>
      </c>
      <c r="B846" s="12" t="inlineStr">
        <is>
          <t>Cartage Company</t>
        </is>
      </c>
      <c r="C846" s="12" t="inlineStr">
        <is>
          <t>Truck Rego</t>
        </is>
      </c>
      <c r="D846" s="12" t="inlineStr">
        <is>
          <t>Truck Type</t>
        </is>
      </c>
      <c r="E846" s="12" t="inlineStr">
        <is>
          <t>Exp / Imp</t>
        </is>
      </c>
      <c r="F846" s="12" t="inlineStr">
        <is>
          <t>Loads</t>
        </is>
      </c>
      <c r="G846" s="12" t="inlineStr">
        <is>
          <t>m³ / Load</t>
        </is>
      </c>
      <c r="H846" s="12" t="inlineStr">
        <is>
          <t>Total m³</t>
        </is>
      </c>
      <c r="I846" s="12" t="inlineStr">
        <is>
          <t>Hours</t>
        </is>
      </c>
      <c r="J846" s="12" t="inlineStr">
        <is>
          <t>Material</t>
        </is>
      </c>
      <c r="K846" s="12" t="inlineStr">
        <is>
          <t>Tip Site</t>
        </is>
      </c>
      <c r="L846" s="12" t="inlineStr">
        <is>
          <t>Docket #</t>
        </is>
      </c>
      <c r="M846" s="12" t="inlineStr">
        <is>
          <t>Rate Paid ($/m³)</t>
        </is>
      </c>
      <c r="N846" s="12" t="inlineStr">
        <is>
          <t>Invoice #</t>
        </is>
      </c>
    </row>
    <row r="847" hidden="1" outlineLevel="1" ht="16" customHeight="1">
      <c r="A847" s="13" t="n"/>
      <c r="B847" s="14" t="n"/>
      <c r="C847" s="15" t="n"/>
      <c r="D847" s="56" t="n"/>
      <c r="E847" s="56" t="n"/>
      <c r="F847" s="17" t="n"/>
      <c r="G847" s="18">
        <f>IF(D847="Tandem",10,IF(D847="TT",22,IF(D847="Quad",25,"")))</f>
        <v/>
      </c>
      <c r="H847" s="19">
        <f>IFERROR(IF(F847*G847=0,0,F847*G847),0)</f>
        <v/>
      </c>
      <c r="I847" s="20" t="n"/>
      <c r="J847" s="57" t="n"/>
      <c r="K847" s="14" t="n"/>
      <c r="L847" s="22" t="n"/>
      <c r="M847" s="58" t="n"/>
      <c r="N847" s="22" t="n"/>
      <c r="O847" s="24">
        <f>IFERROR(IF(OR(M847="",M847=0),0,H847*VALUE(SUBSTITUTE(M847&amp;"","$",""))),0)</f>
        <v/>
      </c>
    </row>
    <row r="848" hidden="1" outlineLevel="1" ht="16" customHeight="1">
      <c r="A848" s="13" t="n"/>
      <c r="B848" s="25" t="n"/>
      <c r="C848" s="26" t="n"/>
      <c r="D848" s="56" t="n"/>
      <c r="E848" s="56" t="n"/>
      <c r="F848" s="27" t="n"/>
      <c r="G848" s="18">
        <f>IF(D848="Tandem",10,IF(D848="TT",22,IF(D848="Quad",25,"")))</f>
        <v/>
      </c>
      <c r="H848" s="28">
        <f>IFERROR(IF(F848*G848=0,0,F848*G848),0)</f>
        <v/>
      </c>
      <c r="I848" s="29" t="n"/>
      <c r="J848" s="57" t="n"/>
      <c r="K848" s="25" t="n"/>
      <c r="L848" s="30" t="n"/>
      <c r="M848" s="58" t="n"/>
      <c r="N848" s="30" t="n"/>
      <c r="O848" s="24">
        <f>IFERROR(IF(OR(M848="",M848=0),0,H848*VALUE(SUBSTITUTE(M848&amp;"","$",""))),0)</f>
        <v/>
      </c>
    </row>
    <row r="849" hidden="1" outlineLevel="1" ht="16" customHeight="1">
      <c r="A849" s="13" t="n"/>
      <c r="B849" s="14" t="n"/>
      <c r="C849" s="15" t="n"/>
      <c r="D849" s="56" t="n"/>
      <c r="E849" s="56" t="n"/>
      <c r="F849" s="17" t="n"/>
      <c r="G849" s="18">
        <f>IF(D849="Tandem",10,IF(D849="TT",22,IF(D849="Quad",25,"")))</f>
        <v/>
      </c>
      <c r="H849" s="19">
        <f>IFERROR(IF(F849*G849=0,0,F849*G849),0)</f>
        <v/>
      </c>
      <c r="I849" s="20" t="n"/>
      <c r="J849" s="57" t="n"/>
      <c r="K849" s="14" t="n"/>
      <c r="L849" s="22" t="n"/>
      <c r="M849" s="58" t="n"/>
      <c r="N849" s="22" t="n"/>
      <c r="O849" s="24">
        <f>IFERROR(IF(OR(M849="",M849=0),0,H849*VALUE(SUBSTITUTE(M849&amp;"","$",""))),0)</f>
        <v/>
      </c>
    </row>
    <row r="850" hidden="1" outlineLevel="1" ht="16" customHeight="1">
      <c r="A850" s="13" t="n"/>
      <c r="B850" s="25" t="n"/>
      <c r="C850" s="26" t="n"/>
      <c r="D850" s="56" t="n"/>
      <c r="E850" s="56" t="n"/>
      <c r="F850" s="27" t="n"/>
      <c r="G850" s="18">
        <f>IF(D850="Tandem",10,IF(D850="TT",22,IF(D850="Quad",25,"")))</f>
        <v/>
      </c>
      <c r="H850" s="28">
        <f>IFERROR(IF(F850*G850=0,0,F850*G850),0)</f>
        <v/>
      </c>
      <c r="I850" s="29" t="n"/>
      <c r="J850" s="57" t="n"/>
      <c r="K850" s="25" t="n"/>
      <c r="L850" s="30" t="n"/>
      <c r="M850" s="58" t="n"/>
      <c r="N850" s="30" t="n"/>
      <c r="O850" s="24">
        <f>IFERROR(IF(OR(M850="",M850=0),0,H850*VALUE(SUBSTITUTE(M850&amp;"","$",""))),0)</f>
        <v/>
      </c>
    </row>
    <row r="851" hidden="1" outlineLevel="1" ht="16" customHeight="1">
      <c r="A851" s="13" t="n"/>
      <c r="B851" s="14" t="n"/>
      <c r="C851" s="15" t="n"/>
      <c r="D851" s="56" t="n"/>
      <c r="E851" s="56" t="n"/>
      <c r="F851" s="17" t="n"/>
      <c r="G851" s="18">
        <f>IF(D851="Tandem",10,IF(D851="TT",22,IF(D851="Quad",25,"")))</f>
        <v/>
      </c>
      <c r="H851" s="19">
        <f>IFERROR(IF(F851*G851=0,0,F851*G851),0)</f>
        <v/>
      </c>
      <c r="I851" s="20" t="n"/>
      <c r="J851" s="57" t="n"/>
      <c r="K851" s="14" t="n"/>
      <c r="L851" s="22" t="n"/>
      <c r="M851" s="58" t="n"/>
      <c r="N851" s="22" t="n"/>
      <c r="O851" s="24">
        <f>IFERROR(IF(OR(M851="",M851=0),0,H851*VALUE(SUBSTITUTE(M851&amp;"","$",""))),0)</f>
        <v/>
      </c>
    </row>
    <row r="852" hidden="1" outlineLevel="1" ht="16" customHeight="1">
      <c r="A852" s="13" t="n"/>
      <c r="B852" s="25" t="n"/>
      <c r="C852" s="26" t="n"/>
      <c r="D852" s="56" t="n"/>
      <c r="E852" s="56" t="n"/>
      <c r="F852" s="27" t="n"/>
      <c r="G852" s="18">
        <f>IF(D852="Tandem",10,IF(D852="TT",22,IF(D852="Quad",25,"")))</f>
        <v/>
      </c>
      <c r="H852" s="28">
        <f>IFERROR(IF(F852*G852=0,0,F852*G852),0)</f>
        <v/>
      </c>
      <c r="I852" s="29" t="n"/>
      <c r="J852" s="57" t="n"/>
      <c r="K852" s="25" t="n"/>
      <c r="L852" s="30" t="n"/>
      <c r="M852" s="58" t="n"/>
      <c r="N852" s="30" t="n"/>
      <c r="O852" s="24">
        <f>IFERROR(IF(OR(M852="",M852=0),0,H852*VALUE(SUBSTITUTE(M852&amp;"","$",""))),0)</f>
        <v/>
      </c>
    </row>
    <row r="853" hidden="1" outlineLevel="1" ht="16" customHeight="1">
      <c r="A853" s="13" t="n"/>
      <c r="B853" s="14" t="n"/>
      <c r="C853" s="15" t="n"/>
      <c r="D853" s="56" t="n"/>
      <c r="E853" s="56" t="n"/>
      <c r="F853" s="17" t="n"/>
      <c r="G853" s="18">
        <f>IF(D853="Tandem",10,IF(D853="TT",22,IF(D853="Quad",25,"")))</f>
        <v/>
      </c>
      <c r="H853" s="19">
        <f>IFERROR(IF(F853*G853=0,0,F853*G853),0)</f>
        <v/>
      </c>
      <c r="I853" s="20" t="n"/>
      <c r="J853" s="57" t="n"/>
      <c r="K853" s="14" t="n"/>
      <c r="L853" s="22" t="n"/>
      <c r="M853" s="58" t="n"/>
      <c r="N853" s="22" t="n"/>
      <c r="O853" s="24">
        <f>IFERROR(IF(OR(M853="",M853=0),0,H853*VALUE(SUBSTITUTE(M853&amp;"","$",""))),0)</f>
        <v/>
      </c>
    </row>
    <row r="854" hidden="1" outlineLevel="1" ht="16" customHeight="1">
      <c r="A854" s="13" t="n"/>
      <c r="B854" s="25" t="n"/>
      <c r="C854" s="26" t="n"/>
      <c r="D854" s="56" t="n"/>
      <c r="E854" s="56" t="n"/>
      <c r="F854" s="27" t="n"/>
      <c r="G854" s="18">
        <f>IF(D854="Tandem",10,IF(D854="TT",22,IF(D854="Quad",25,"")))</f>
        <v/>
      </c>
      <c r="H854" s="28">
        <f>IFERROR(IF(F854*G854=0,0,F854*G854),0)</f>
        <v/>
      </c>
      <c r="I854" s="29" t="n"/>
      <c r="J854" s="57" t="n"/>
      <c r="K854" s="25" t="n"/>
      <c r="L854" s="30" t="n"/>
      <c r="M854" s="58" t="n"/>
      <c r="N854" s="30" t="n"/>
      <c r="O854" s="24">
        <f>IFERROR(IF(OR(M854="",M854=0),0,H854*VALUE(SUBSTITUTE(M854&amp;"","$",""))),0)</f>
        <v/>
      </c>
    </row>
    <row r="855" hidden="1" outlineLevel="1" ht="16" customHeight="1">
      <c r="A855" s="13" t="n"/>
      <c r="B855" s="14" t="n"/>
      <c r="C855" s="15" t="n"/>
      <c r="D855" s="56" t="n"/>
      <c r="E855" s="56" t="n"/>
      <c r="F855" s="17" t="n"/>
      <c r="G855" s="18">
        <f>IF(D855="Tandem",10,IF(D855="TT",22,IF(D855="Quad",25,"")))</f>
        <v/>
      </c>
      <c r="H855" s="19">
        <f>IFERROR(IF(F855*G855=0,0,F855*G855),0)</f>
        <v/>
      </c>
      <c r="I855" s="20" t="n"/>
      <c r="J855" s="57" t="n"/>
      <c r="K855" s="14" t="n"/>
      <c r="L855" s="22" t="n"/>
      <c r="M855" s="58" t="n"/>
      <c r="N855" s="22" t="n"/>
      <c r="O855" s="24">
        <f>IFERROR(IF(OR(M855="",M855=0),0,H855*VALUE(SUBSTITUTE(M855&amp;"","$",""))),0)</f>
        <v/>
      </c>
    </row>
    <row r="856" hidden="1" outlineLevel="1" ht="16" customHeight="1">
      <c r="A856" s="13" t="n"/>
      <c r="B856" s="25" t="n"/>
      <c r="C856" s="26" t="n"/>
      <c r="D856" s="56" t="n"/>
      <c r="E856" s="56" t="n"/>
      <c r="F856" s="27" t="n"/>
      <c r="G856" s="18">
        <f>IF(D856="Tandem",10,IF(D856="TT",22,IF(D856="Quad",25,"")))</f>
        <v/>
      </c>
      <c r="H856" s="28">
        <f>IFERROR(IF(F856*G856=0,0,F856*G856),0)</f>
        <v/>
      </c>
      <c r="I856" s="29" t="n"/>
      <c r="J856" s="57" t="n"/>
      <c r="K856" s="25" t="n"/>
      <c r="L856" s="30" t="n"/>
      <c r="M856" s="58" t="n"/>
      <c r="N856" s="30" t="n"/>
      <c r="O856" s="24">
        <f>IFERROR(IF(OR(M856="",M856=0),0,H856*VALUE(SUBSTITUTE(M856&amp;"","$",""))),0)</f>
        <v/>
      </c>
    </row>
    <row r="857" hidden="1" outlineLevel="1" ht="16" customHeight="1">
      <c r="A857" s="13" t="n"/>
      <c r="B857" s="14" t="n"/>
      <c r="C857" s="15" t="n"/>
      <c r="D857" s="56" t="n"/>
      <c r="E857" s="56" t="n"/>
      <c r="F857" s="17" t="n"/>
      <c r="G857" s="18">
        <f>IF(D857="Tandem",10,IF(D857="TT",22,IF(D857="Quad",25,"")))</f>
        <v/>
      </c>
      <c r="H857" s="19">
        <f>IFERROR(IF(F857*G857=0,0,F857*G857),0)</f>
        <v/>
      </c>
      <c r="I857" s="20" t="n"/>
      <c r="J857" s="57" t="n"/>
      <c r="K857" s="14" t="n"/>
      <c r="L857" s="22" t="n"/>
      <c r="M857" s="58" t="n"/>
      <c r="N857" s="22" t="n"/>
      <c r="O857" s="24">
        <f>IFERROR(IF(OR(M857="",M857=0),0,H857*VALUE(SUBSTITUTE(M857&amp;"","$",""))),0)</f>
        <v/>
      </c>
    </row>
    <row r="858" hidden="1" outlineLevel="1" ht="16" customHeight="1">
      <c r="A858" s="13" t="n"/>
      <c r="B858" s="25" t="n"/>
      <c r="C858" s="26" t="n"/>
      <c r="D858" s="56" t="n"/>
      <c r="E858" s="56" t="n"/>
      <c r="F858" s="27" t="n"/>
      <c r="G858" s="18">
        <f>IF(D858="Tandem",10,IF(D858="TT",22,IF(D858="Quad",25,"")))</f>
        <v/>
      </c>
      <c r="H858" s="28">
        <f>IFERROR(IF(F858*G858=0,0,F858*G858),0)</f>
        <v/>
      </c>
      <c r="I858" s="29" t="n"/>
      <c r="J858" s="57" t="n"/>
      <c r="K858" s="25" t="n"/>
      <c r="L858" s="30" t="n"/>
      <c r="M858" s="58" t="n"/>
      <c r="N858" s="30" t="n"/>
      <c r="O858" s="24">
        <f>IFERROR(IF(OR(M858="",M858=0),0,H858*VALUE(SUBSTITUTE(M858&amp;"","$",""))),0)</f>
        <v/>
      </c>
    </row>
    <row r="859" hidden="1" outlineLevel="1" ht="16" customHeight="1">
      <c r="A859" s="13" t="n"/>
      <c r="B859" s="14" t="n"/>
      <c r="C859" s="15" t="n"/>
      <c r="D859" s="56" t="n"/>
      <c r="E859" s="56" t="n"/>
      <c r="F859" s="17" t="n"/>
      <c r="G859" s="18">
        <f>IF(D859="Tandem",10,IF(D859="TT",22,IF(D859="Quad",25,"")))</f>
        <v/>
      </c>
      <c r="H859" s="19">
        <f>IFERROR(IF(F859*G859=0,0,F859*G859),0)</f>
        <v/>
      </c>
      <c r="I859" s="20" t="n"/>
      <c r="J859" s="57" t="n"/>
      <c r="K859" s="14" t="n"/>
      <c r="L859" s="22" t="n"/>
      <c r="M859" s="58" t="n"/>
      <c r="N859" s="22" t="n"/>
      <c r="O859" s="24">
        <f>IFERROR(IF(OR(M859="",M859=0),0,H859*VALUE(SUBSTITUTE(M859&amp;"","$",""))),0)</f>
        <v/>
      </c>
    </row>
    <row r="860" hidden="1" outlineLevel="1" ht="16" customHeight="1">
      <c r="A860" s="13" t="n"/>
      <c r="B860" s="25" t="n"/>
      <c r="C860" s="26" t="n"/>
      <c r="D860" s="56" t="n"/>
      <c r="E860" s="56" t="n"/>
      <c r="F860" s="27" t="n"/>
      <c r="G860" s="18">
        <f>IF(D860="Tandem",10,IF(D860="TT",22,IF(D860="Quad",25,"")))</f>
        <v/>
      </c>
      <c r="H860" s="28">
        <f>IFERROR(IF(F860*G860=0,0,F860*G860),0)</f>
        <v/>
      </c>
      <c r="I860" s="29" t="n"/>
      <c r="J860" s="57" t="n"/>
      <c r="K860" s="25" t="n"/>
      <c r="L860" s="30" t="n"/>
      <c r="M860" s="58" t="n"/>
      <c r="N860" s="30" t="n"/>
      <c r="O860" s="24">
        <f>IFERROR(IF(OR(M860="",M860=0),0,H860*VALUE(SUBSTITUTE(M860&amp;"","$",""))),0)</f>
        <v/>
      </c>
    </row>
    <row r="861" hidden="1" outlineLevel="1" ht="16" customHeight="1">
      <c r="A861" s="13" t="n"/>
      <c r="B861" s="14" t="n"/>
      <c r="C861" s="15" t="n"/>
      <c r="D861" s="56" t="n"/>
      <c r="E861" s="56" t="n"/>
      <c r="F861" s="17" t="n"/>
      <c r="G861" s="18">
        <f>IF(D861="Tandem",10,IF(D861="TT",22,IF(D861="Quad",25,"")))</f>
        <v/>
      </c>
      <c r="H861" s="19">
        <f>IFERROR(IF(F861*G861=0,0,F861*G861),0)</f>
        <v/>
      </c>
      <c r="I861" s="20" t="n"/>
      <c r="J861" s="57" t="n"/>
      <c r="K861" s="14" t="n"/>
      <c r="L861" s="22" t="n"/>
      <c r="M861" s="58" t="n"/>
      <c r="N861" s="22" t="n"/>
      <c r="O861" s="24">
        <f>IFERROR(IF(OR(M861="",M861=0),0,H861*VALUE(SUBSTITUTE(M861&amp;"","$",""))),0)</f>
        <v/>
      </c>
    </row>
    <row r="862" hidden="1" outlineLevel="1" ht="16" customHeight="1">
      <c r="A862" s="13" t="n"/>
      <c r="B862" s="25" t="n"/>
      <c r="C862" s="26" t="n"/>
      <c r="D862" s="56" t="n"/>
      <c r="E862" s="56" t="n"/>
      <c r="F862" s="27" t="n"/>
      <c r="G862" s="18">
        <f>IF(D862="Tandem",10,IF(D862="TT",22,IF(D862="Quad",25,"")))</f>
        <v/>
      </c>
      <c r="H862" s="28">
        <f>IFERROR(IF(F862*G862=0,0,F862*G862),0)</f>
        <v/>
      </c>
      <c r="I862" s="29" t="n"/>
      <c r="J862" s="57" t="n"/>
      <c r="K862" s="25" t="n"/>
      <c r="L862" s="30" t="n"/>
      <c r="M862" s="58" t="n"/>
      <c r="N862" s="30" t="n"/>
      <c r="O862" s="24">
        <f>IFERROR(IF(OR(M862="",M862=0),0,H862*VALUE(SUBSTITUTE(M862&amp;"","$",""))),0)</f>
        <v/>
      </c>
    </row>
    <row r="863" hidden="1" outlineLevel="1" ht="16" customHeight="1">
      <c r="A863" s="13" t="n"/>
      <c r="B863" s="14" t="n"/>
      <c r="C863" s="15" t="n"/>
      <c r="D863" s="56" t="n"/>
      <c r="E863" s="56" t="n"/>
      <c r="F863" s="17" t="n"/>
      <c r="G863" s="18">
        <f>IF(D863="Tandem",10,IF(D863="TT",22,IF(D863="Quad",25,"")))</f>
        <v/>
      </c>
      <c r="H863" s="19">
        <f>IFERROR(IF(F863*G863=0,0,F863*G863),0)</f>
        <v/>
      </c>
      <c r="I863" s="20" t="n"/>
      <c r="J863" s="57" t="n"/>
      <c r="K863" s="14" t="n"/>
      <c r="L863" s="22" t="n"/>
      <c r="M863" s="58" t="n"/>
      <c r="N863" s="22" t="n"/>
      <c r="O863" s="24">
        <f>IFERROR(IF(OR(M863="",M863=0),0,H863*VALUE(SUBSTITUTE(M863&amp;"","$",""))),0)</f>
        <v/>
      </c>
    </row>
    <row r="864" hidden="1" outlineLevel="1" ht="16" customHeight="1">
      <c r="A864" s="13" t="n"/>
      <c r="B864" s="25" t="n"/>
      <c r="C864" s="26" t="n"/>
      <c r="D864" s="56" t="n"/>
      <c r="E864" s="56" t="n"/>
      <c r="F864" s="27" t="n"/>
      <c r="G864" s="18">
        <f>IF(D864="Tandem",10,IF(D864="TT",22,IF(D864="Quad",25,"")))</f>
        <v/>
      </c>
      <c r="H864" s="28">
        <f>IFERROR(IF(F864*G864=0,0,F864*G864),0)</f>
        <v/>
      </c>
      <c r="I864" s="29" t="n"/>
      <c r="J864" s="57" t="n"/>
      <c r="K864" s="25" t="n"/>
      <c r="L864" s="30" t="n"/>
      <c r="M864" s="58" t="n"/>
      <c r="N864" s="30" t="n"/>
      <c r="O864" s="24">
        <f>IFERROR(IF(OR(M864="",M864=0),0,H864*VALUE(SUBSTITUTE(M864&amp;"","$",""))),0)</f>
        <v/>
      </c>
    </row>
    <row r="865" hidden="1" outlineLevel="1" ht="16" customHeight="1">
      <c r="A865" s="13" t="n"/>
      <c r="B865" s="14" t="n"/>
      <c r="C865" s="15" t="n"/>
      <c r="D865" s="56" t="n"/>
      <c r="E865" s="56" t="n"/>
      <c r="F865" s="17" t="n"/>
      <c r="G865" s="18">
        <f>IF(D865="Tandem",10,IF(D865="TT",22,IF(D865="Quad",25,"")))</f>
        <v/>
      </c>
      <c r="H865" s="19">
        <f>IFERROR(IF(F865*G865=0,0,F865*G865),0)</f>
        <v/>
      </c>
      <c r="I865" s="20" t="n"/>
      <c r="J865" s="57" t="n"/>
      <c r="K865" s="14" t="n"/>
      <c r="L865" s="22" t="n"/>
      <c r="M865" s="58" t="n"/>
      <c r="N865" s="22" t="n"/>
      <c r="O865" s="24">
        <f>IFERROR(IF(OR(M865="",M865=0),0,H865*VALUE(SUBSTITUTE(M865&amp;"","$",""))),0)</f>
        <v/>
      </c>
    </row>
    <row r="866" hidden="1" outlineLevel="1" ht="16" customHeight="1">
      <c r="A866" s="13" t="n"/>
      <c r="B866" s="25" t="n"/>
      <c r="C866" s="26" t="n"/>
      <c r="D866" s="56" t="n"/>
      <c r="E866" s="56" t="n"/>
      <c r="F866" s="27" t="n"/>
      <c r="G866" s="18">
        <f>IF(D866="Tandem",10,IF(D866="TT",22,IF(D866="Quad",25,"")))</f>
        <v/>
      </c>
      <c r="H866" s="28">
        <f>IFERROR(IF(F866*G866=0,0,F866*G866),0)</f>
        <v/>
      </c>
      <c r="I866" s="29" t="n"/>
      <c r="J866" s="57" t="n"/>
      <c r="K866" s="25" t="n"/>
      <c r="L866" s="30" t="n"/>
      <c r="M866" s="58" t="n"/>
      <c r="N866" s="30" t="n"/>
      <c r="O866" s="24">
        <f>IFERROR(IF(OR(M866="",M866=0),0,H866*VALUE(SUBSTITUTE(M866&amp;"","$",""))),0)</f>
        <v/>
      </c>
    </row>
    <row r="867" hidden="1" outlineLevel="1" ht="16" customHeight="1">
      <c r="A867" s="13" t="n"/>
      <c r="B867" s="14" t="n"/>
      <c r="C867" s="15" t="n"/>
      <c r="D867" s="56" t="n"/>
      <c r="E867" s="56" t="n"/>
      <c r="F867" s="17" t="n"/>
      <c r="G867" s="18">
        <f>IF(D867="Tandem",10,IF(D867="TT",22,IF(D867="Quad",25,"")))</f>
        <v/>
      </c>
      <c r="H867" s="19">
        <f>IFERROR(IF(F867*G867=0,0,F867*G867),0)</f>
        <v/>
      </c>
      <c r="I867" s="20" t="n"/>
      <c r="J867" s="57" t="n"/>
      <c r="K867" s="14" t="n"/>
      <c r="L867" s="22" t="n"/>
      <c r="M867" s="58" t="n"/>
      <c r="N867" s="22" t="n"/>
      <c r="O867" s="24">
        <f>IFERROR(IF(OR(M867="",M867=0),0,H867*VALUE(SUBSTITUTE(M867&amp;"","$",""))),0)</f>
        <v/>
      </c>
    </row>
    <row r="868" hidden="1" outlineLevel="1" ht="16" customHeight="1">
      <c r="A868" s="13" t="n"/>
      <c r="B868" s="25" t="n"/>
      <c r="C868" s="26" t="n"/>
      <c r="D868" s="56" t="n"/>
      <c r="E868" s="56" t="n"/>
      <c r="F868" s="27" t="n"/>
      <c r="G868" s="18">
        <f>IF(D868="Tandem",10,IF(D868="TT",22,IF(D868="Quad",25,"")))</f>
        <v/>
      </c>
      <c r="H868" s="28">
        <f>IFERROR(IF(F868*G868=0,0,F868*G868),0)</f>
        <v/>
      </c>
      <c r="I868" s="29" t="n"/>
      <c r="J868" s="57" t="n"/>
      <c r="K868" s="25" t="n"/>
      <c r="L868" s="30" t="n"/>
      <c r="M868" s="58" t="n"/>
      <c r="N868" s="30" t="n"/>
      <c r="O868" s="24">
        <f>IFERROR(IF(OR(M868="",M868=0),0,H868*VALUE(SUBSTITUTE(M868&amp;"","$",""))),0)</f>
        <v/>
      </c>
    </row>
    <row r="869" hidden="1" outlineLevel="1" ht="16" customHeight="1">
      <c r="A869" s="13" t="n"/>
      <c r="B869" s="14" t="n"/>
      <c r="C869" s="15" t="n"/>
      <c r="D869" s="56" t="n"/>
      <c r="E869" s="56" t="n"/>
      <c r="F869" s="17" t="n"/>
      <c r="G869" s="18">
        <f>IF(D869="Tandem",10,IF(D869="TT",22,IF(D869="Quad",25,"")))</f>
        <v/>
      </c>
      <c r="H869" s="19">
        <f>IFERROR(IF(F869*G869=0,0,F869*G869),0)</f>
        <v/>
      </c>
      <c r="I869" s="20" t="n"/>
      <c r="J869" s="57" t="n"/>
      <c r="K869" s="14" t="n"/>
      <c r="L869" s="22" t="n"/>
      <c r="M869" s="58" t="n"/>
      <c r="N869" s="22" t="n"/>
      <c r="O869" s="24">
        <f>IFERROR(IF(OR(M869="",M869=0),0,H869*VALUE(SUBSTITUTE(M869&amp;"","$",""))),0)</f>
        <v/>
      </c>
    </row>
    <row r="870" hidden="1" outlineLevel="1" ht="16" customHeight="1">
      <c r="A870" s="13" t="n"/>
      <c r="B870" s="25" t="n"/>
      <c r="C870" s="26" t="n"/>
      <c r="D870" s="56" t="n"/>
      <c r="E870" s="56" t="n"/>
      <c r="F870" s="27" t="n"/>
      <c r="G870" s="18">
        <f>IF(D870="Tandem",10,IF(D870="TT",22,IF(D870="Quad",25,"")))</f>
        <v/>
      </c>
      <c r="H870" s="28">
        <f>IFERROR(IF(F870*G870=0,0,F870*G870),0)</f>
        <v/>
      </c>
      <c r="I870" s="29" t="n"/>
      <c r="J870" s="57" t="n"/>
      <c r="K870" s="25" t="n"/>
      <c r="L870" s="30" t="n"/>
      <c r="M870" s="58" t="n"/>
      <c r="N870" s="30" t="n"/>
      <c r="O870" s="24">
        <f>IFERROR(IF(OR(M870="",M870=0),0,H870*VALUE(SUBSTITUTE(M870&amp;"","$",""))),0)</f>
        <v/>
      </c>
    </row>
    <row r="871" hidden="1" outlineLevel="1" ht="16" customHeight="1">
      <c r="A871" s="13" t="n"/>
      <c r="B871" s="14" t="n"/>
      <c r="C871" s="15" t="n"/>
      <c r="D871" s="56" t="n"/>
      <c r="E871" s="56" t="n"/>
      <c r="F871" s="17" t="n"/>
      <c r="G871" s="18">
        <f>IF(D871="Tandem",10,IF(D871="TT",22,IF(D871="Quad",25,"")))</f>
        <v/>
      </c>
      <c r="H871" s="19">
        <f>IFERROR(IF(F871*G871=0,0,F871*G871),0)</f>
        <v/>
      </c>
      <c r="I871" s="20" t="n"/>
      <c r="J871" s="57" t="n"/>
      <c r="K871" s="14" t="n"/>
      <c r="L871" s="22" t="n"/>
      <c r="M871" s="58" t="n"/>
      <c r="N871" s="22" t="n"/>
      <c r="O871" s="24">
        <f>IFERROR(IF(OR(M871="",M871=0),0,H871*VALUE(SUBSTITUTE(M871&amp;"","$",""))),0)</f>
        <v/>
      </c>
    </row>
    <row r="872" hidden="1" outlineLevel="1" ht="16" customHeight="1">
      <c r="A872" s="13" t="n"/>
      <c r="B872" s="25" t="n"/>
      <c r="C872" s="26" t="n"/>
      <c r="D872" s="56" t="n"/>
      <c r="E872" s="56" t="n"/>
      <c r="F872" s="27" t="n"/>
      <c r="G872" s="18">
        <f>IF(D872="Tandem",10,IF(D872="TT",22,IF(D872="Quad",25,"")))</f>
        <v/>
      </c>
      <c r="H872" s="28">
        <f>IFERROR(IF(F872*G872=0,0,F872*G872),0)</f>
        <v/>
      </c>
      <c r="I872" s="29" t="n"/>
      <c r="J872" s="57" t="n"/>
      <c r="K872" s="25" t="n"/>
      <c r="L872" s="30" t="n"/>
      <c r="M872" s="58" t="n"/>
      <c r="N872" s="30" t="n"/>
      <c r="O872" s="24">
        <f>IFERROR(IF(OR(M872="",M872=0),0,H872*VALUE(SUBSTITUTE(M872&amp;"","$",""))),0)</f>
        <v/>
      </c>
    </row>
    <row r="873" hidden="1" outlineLevel="1" ht="16" customHeight="1">
      <c r="A873" s="13" t="n"/>
      <c r="B873" s="14" t="n"/>
      <c r="C873" s="15" t="n"/>
      <c r="D873" s="56" t="n"/>
      <c r="E873" s="56" t="n"/>
      <c r="F873" s="17" t="n"/>
      <c r="G873" s="18">
        <f>IF(D873="Tandem",10,IF(D873="TT",22,IF(D873="Quad",25,"")))</f>
        <v/>
      </c>
      <c r="H873" s="19">
        <f>IFERROR(IF(F873*G873=0,0,F873*G873),0)</f>
        <v/>
      </c>
      <c r="I873" s="20" t="n"/>
      <c r="J873" s="57" t="n"/>
      <c r="K873" s="14" t="n"/>
      <c r="L873" s="22" t="n"/>
      <c r="M873" s="58" t="n"/>
      <c r="N873" s="22" t="n"/>
      <c r="O873" s="24">
        <f>IFERROR(IF(OR(M873="",M873=0),0,H873*VALUE(SUBSTITUTE(M873&amp;"","$",""))),0)</f>
        <v/>
      </c>
    </row>
    <row r="874" hidden="1" outlineLevel="1" ht="16" customHeight="1">
      <c r="A874" s="13" t="n"/>
      <c r="B874" s="25" t="n"/>
      <c r="C874" s="26" t="n"/>
      <c r="D874" s="56" t="n"/>
      <c r="E874" s="56" t="n"/>
      <c r="F874" s="27" t="n"/>
      <c r="G874" s="18">
        <f>IF(D874="Tandem",10,IF(D874="TT",22,IF(D874="Quad",25,"")))</f>
        <v/>
      </c>
      <c r="H874" s="28">
        <f>IFERROR(IF(F874*G874=0,0,F874*G874),0)</f>
        <v/>
      </c>
      <c r="I874" s="29" t="n"/>
      <c r="J874" s="57" t="n"/>
      <c r="K874" s="25" t="n"/>
      <c r="L874" s="30" t="n"/>
      <c r="M874" s="58" t="n"/>
      <c r="N874" s="30" t="n"/>
      <c r="O874" s="24">
        <f>IFERROR(IF(OR(M874="",M874=0),0,H874*VALUE(SUBSTITUTE(M874&amp;"","$",""))),0)</f>
        <v/>
      </c>
    </row>
    <row r="875" hidden="1" outlineLevel="1" ht="16" customHeight="1">
      <c r="A875" s="13" t="n"/>
      <c r="B875" s="14" t="n"/>
      <c r="C875" s="15" t="n"/>
      <c r="D875" s="56" t="n"/>
      <c r="E875" s="56" t="n"/>
      <c r="F875" s="17" t="n"/>
      <c r="G875" s="18">
        <f>IF(D875="Tandem",10,IF(D875="TT",22,IF(D875="Quad",25,"")))</f>
        <v/>
      </c>
      <c r="H875" s="19">
        <f>IFERROR(IF(F875*G875=0,0,F875*G875),0)</f>
        <v/>
      </c>
      <c r="I875" s="20" t="n"/>
      <c r="J875" s="57" t="n"/>
      <c r="K875" s="14" t="n"/>
      <c r="L875" s="22" t="n"/>
      <c r="M875" s="58" t="n"/>
      <c r="N875" s="22" t="n"/>
      <c r="O875" s="24">
        <f>IFERROR(IF(OR(M875="",M875=0),0,H875*VALUE(SUBSTITUTE(M875&amp;"","$",""))),0)</f>
        <v/>
      </c>
    </row>
    <row r="876" hidden="1" outlineLevel="1" ht="16" customHeight="1">
      <c r="A876" s="13" t="n"/>
      <c r="B876" s="25" t="n"/>
      <c r="C876" s="26" t="n"/>
      <c r="D876" s="56" t="n"/>
      <c r="E876" s="56" t="n"/>
      <c r="F876" s="27" t="n"/>
      <c r="G876" s="18">
        <f>IF(D876="Tandem",10,IF(D876="TT",22,IF(D876="Quad",25,"")))</f>
        <v/>
      </c>
      <c r="H876" s="28">
        <f>IFERROR(IF(F876*G876=0,0,F876*G876),0)</f>
        <v/>
      </c>
      <c r="I876" s="29" t="n"/>
      <c r="J876" s="57" t="n"/>
      <c r="K876" s="25" t="n"/>
      <c r="L876" s="30" t="n"/>
      <c r="M876" s="58" t="n"/>
      <c r="N876" s="30" t="n"/>
      <c r="O876" s="24">
        <f>IFERROR(IF(OR(M876="",M876=0),0,H876*VALUE(SUBSTITUTE(M876&amp;"","$",""))),0)</f>
        <v/>
      </c>
    </row>
    <row r="877" hidden="1" outlineLevel="1" ht="20" customHeight="1">
      <c r="A877" s="59" t="inlineStr">
        <is>
          <t>Daily Notes:</t>
        </is>
      </c>
      <c r="B877" s="54" t="n"/>
      <c r="C877" s="54" t="n"/>
      <c r="D877" s="54" t="n"/>
      <c r="E877" s="54" t="n"/>
      <c r="F877" s="54" t="n"/>
      <c r="G877" s="54" t="n"/>
      <c r="H877" s="54" t="n"/>
      <c r="I877" s="54" t="n"/>
      <c r="J877" s="54" t="n"/>
      <c r="K877" s="54" t="n"/>
      <c r="L877" s="54" t="n"/>
      <c r="M877" s="54" t="n"/>
      <c r="N877" s="50" t="n"/>
      <c r="O877" s="60" t="n"/>
    </row>
    <row r="878" hidden="1" outlineLevel="1" ht="18" customHeight="1">
      <c r="A878" s="32" t="inlineStr">
        <is>
          <t>DAILY TOTAL</t>
        </is>
      </c>
      <c r="B878" s="54" t="n"/>
      <c r="C878" s="54" t="n"/>
      <c r="D878" s="54" t="n"/>
      <c r="E878" s="54" t="n"/>
      <c r="F878" s="54" t="n"/>
      <c r="G878" s="50" t="n"/>
      <c r="H878" s="34">
        <f>SUM(H847:H876)</f>
        <v/>
      </c>
      <c r="I878" s="35">
        <f>SUM(I847:I876)</f>
        <v/>
      </c>
      <c r="J878" s="61" t="n"/>
      <c r="K878" s="61" t="n"/>
      <c r="L878" s="61" t="n"/>
      <c r="M878" s="36">
        <f>SUM(O847:O876)</f>
        <v/>
      </c>
      <c r="N878" s="61" t="n"/>
      <c r="O878" s="62" t="n"/>
    </row>
    <row r="879" hidden="1" outlineLevel="1" ht="18" customHeight="1">
      <c r="A879" s="2" t="inlineStr">
        <is>
          <t>▶ RUNNING TOTAL</t>
        </is>
      </c>
      <c r="B879" s="54" t="n"/>
      <c r="C879" s="54" t="n"/>
      <c r="D879" s="54" t="n"/>
      <c r="E879" s="54" t="n"/>
      <c r="F879" s="54" t="n"/>
      <c r="G879" s="50" t="n"/>
      <c r="H879" s="37">
        <f>H50+H86+H122+H158+H194+H230+H266+H302+H338+H374+H410+H446+H482+H518+H554+H590+H626+H662+H698+H734+H770+H806+H842+H878</f>
        <v/>
      </c>
      <c r="I879" s="63" t="n"/>
      <c r="J879" s="63" t="n"/>
      <c r="K879" s="63" t="n"/>
      <c r="L879" s="63" t="n"/>
      <c r="M879" s="38">
        <f>M50+M86+M122+M158+M194+M230+M266+M302+M338+M374+M410+M446+M482+M518+M554+M590+M626+M662+M698+M734+M770+M806+M842+M878</f>
        <v/>
      </c>
      <c r="N879" s="63" t="n"/>
      <c r="O879" s="64" t="n"/>
    </row>
    <row r="880" hidden="1" outlineLevel="1" ht="8" customHeight="1"/>
    <row r="881" ht="22" customHeight="1">
      <c r="A881" s="55" t="inlineStr">
        <is>
          <t>DAY 25</t>
        </is>
      </c>
      <c r="B881" s="54" t="n"/>
      <c r="C881" s="54" t="n"/>
      <c r="D881" s="54" t="n"/>
      <c r="E881" s="54" t="n"/>
      <c r="F881" s="54" t="n"/>
      <c r="G881" s="54" t="n"/>
      <c r="H881" s="54" t="n"/>
      <c r="I881" s="54" t="n"/>
      <c r="J881" s="54" t="n"/>
      <c r="K881" s="54" t="n"/>
      <c r="L881" s="54" t="n"/>
      <c r="M881" s="54" t="n"/>
      <c r="N881" s="50" t="n"/>
    </row>
    <row r="882" hidden="1" outlineLevel="1" ht="28" customHeight="1">
      <c r="A882" s="12" t="inlineStr">
        <is>
          <t>Date</t>
        </is>
      </c>
      <c r="B882" s="12" t="inlineStr">
        <is>
          <t>Cartage Company</t>
        </is>
      </c>
      <c r="C882" s="12" t="inlineStr">
        <is>
          <t>Truck Rego</t>
        </is>
      </c>
      <c r="D882" s="12" t="inlineStr">
        <is>
          <t>Truck Type</t>
        </is>
      </c>
      <c r="E882" s="12" t="inlineStr">
        <is>
          <t>Exp / Imp</t>
        </is>
      </c>
      <c r="F882" s="12" t="inlineStr">
        <is>
          <t>Loads</t>
        </is>
      </c>
      <c r="G882" s="12" t="inlineStr">
        <is>
          <t>m³ / Load</t>
        </is>
      </c>
      <c r="H882" s="12" t="inlineStr">
        <is>
          <t>Total m³</t>
        </is>
      </c>
      <c r="I882" s="12" t="inlineStr">
        <is>
          <t>Hours</t>
        </is>
      </c>
      <c r="J882" s="12" t="inlineStr">
        <is>
          <t>Material</t>
        </is>
      </c>
      <c r="K882" s="12" t="inlineStr">
        <is>
          <t>Tip Site</t>
        </is>
      </c>
      <c r="L882" s="12" t="inlineStr">
        <is>
          <t>Docket #</t>
        </is>
      </c>
      <c r="M882" s="12" t="inlineStr">
        <is>
          <t>Rate Paid ($/m³)</t>
        </is>
      </c>
      <c r="N882" s="12" t="inlineStr">
        <is>
          <t>Invoice #</t>
        </is>
      </c>
    </row>
    <row r="883" hidden="1" outlineLevel="1" ht="16" customHeight="1">
      <c r="A883" s="13" t="n"/>
      <c r="B883" s="14" t="n"/>
      <c r="C883" s="15" t="n"/>
      <c r="D883" s="56" t="n"/>
      <c r="E883" s="56" t="n"/>
      <c r="F883" s="17" t="n"/>
      <c r="G883" s="18">
        <f>IF(D883="Tandem",10,IF(D883="TT",22,IF(D883="Quad",25,"")))</f>
        <v/>
      </c>
      <c r="H883" s="19">
        <f>IFERROR(IF(F883*G883=0,0,F883*G883),0)</f>
        <v/>
      </c>
      <c r="I883" s="20" t="n"/>
      <c r="J883" s="57" t="n"/>
      <c r="K883" s="14" t="n"/>
      <c r="L883" s="22" t="n"/>
      <c r="M883" s="58" t="n"/>
      <c r="N883" s="22" t="n"/>
      <c r="O883" s="24">
        <f>IFERROR(IF(OR(M883="",M883=0),0,H883*VALUE(SUBSTITUTE(M883&amp;"","$",""))),0)</f>
        <v/>
      </c>
    </row>
    <row r="884" hidden="1" outlineLevel="1" ht="16" customHeight="1">
      <c r="A884" s="13" t="n"/>
      <c r="B884" s="25" t="n"/>
      <c r="C884" s="26" t="n"/>
      <c r="D884" s="56" t="n"/>
      <c r="E884" s="56" t="n"/>
      <c r="F884" s="27" t="n"/>
      <c r="G884" s="18">
        <f>IF(D884="Tandem",10,IF(D884="TT",22,IF(D884="Quad",25,"")))</f>
        <v/>
      </c>
      <c r="H884" s="28">
        <f>IFERROR(IF(F884*G884=0,0,F884*G884),0)</f>
        <v/>
      </c>
      <c r="I884" s="29" t="n"/>
      <c r="J884" s="57" t="n"/>
      <c r="K884" s="25" t="n"/>
      <c r="L884" s="30" t="n"/>
      <c r="M884" s="58" t="n"/>
      <c r="N884" s="30" t="n"/>
      <c r="O884" s="24">
        <f>IFERROR(IF(OR(M884="",M884=0),0,H884*VALUE(SUBSTITUTE(M884&amp;"","$",""))),0)</f>
        <v/>
      </c>
    </row>
    <row r="885" hidden="1" outlineLevel="1" ht="16" customHeight="1">
      <c r="A885" s="13" t="n"/>
      <c r="B885" s="14" t="n"/>
      <c r="C885" s="15" t="n"/>
      <c r="D885" s="56" t="n"/>
      <c r="E885" s="56" t="n"/>
      <c r="F885" s="17" t="n"/>
      <c r="G885" s="18">
        <f>IF(D885="Tandem",10,IF(D885="TT",22,IF(D885="Quad",25,"")))</f>
        <v/>
      </c>
      <c r="H885" s="19">
        <f>IFERROR(IF(F885*G885=0,0,F885*G885),0)</f>
        <v/>
      </c>
      <c r="I885" s="20" t="n"/>
      <c r="J885" s="57" t="n"/>
      <c r="K885" s="14" t="n"/>
      <c r="L885" s="22" t="n"/>
      <c r="M885" s="58" t="n"/>
      <c r="N885" s="22" t="n"/>
      <c r="O885" s="24">
        <f>IFERROR(IF(OR(M885="",M885=0),0,H885*VALUE(SUBSTITUTE(M885&amp;"","$",""))),0)</f>
        <v/>
      </c>
    </row>
    <row r="886" hidden="1" outlineLevel="1" ht="16" customHeight="1">
      <c r="A886" s="13" t="n"/>
      <c r="B886" s="25" t="n"/>
      <c r="C886" s="26" t="n"/>
      <c r="D886" s="56" t="n"/>
      <c r="E886" s="56" t="n"/>
      <c r="F886" s="27" t="n"/>
      <c r="G886" s="18">
        <f>IF(D886="Tandem",10,IF(D886="TT",22,IF(D886="Quad",25,"")))</f>
        <v/>
      </c>
      <c r="H886" s="28">
        <f>IFERROR(IF(F886*G886=0,0,F886*G886),0)</f>
        <v/>
      </c>
      <c r="I886" s="29" t="n"/>
      <c r="J886" s="57" t="n"/>
      <c r="K886" s="25" t="n"/>
      <c r="L886" s="30" t="n"/>
      <c r="M886" s="58" t="n"/>
      <c r="N886" s="30" t="n"/>
      <c r="O886" s="24">
        <f>IFERROR(IF(OR(M886="",M886=0),0,H886*VALUE(SUBSTITUTE(M886&amp;"","$",""))),0)</f>
        <v/>
      </c>
    </row>
    <row r="887" hidden="1" outlineLevel="1" ht="16" customHeight="1">
      <c r="A887" s="13" t="n"/>
      <c r="B887" s="14" t="n"/>
      <c r="C887" s="15" t="n"/>
      <c r="D887" s="56" t="n"/>
      <c r="E887" s="56" t="n"/>
      <c r="F887" s="17" t="n"/>
      <c r="G887" s="18">
        <f>IF(D887="Tandem",10,IF(D887="TT",22,IF(D887="Quad",25,"")))</f>
        <v/>
      </c>
      <c r="H887" s="19">
        <f>IFERROR(IF(F887*G887=0,0,F887*G887),0)</f>
        <v/>
      </c>
      <c r="I887" s="20" t="n"/>
      <c r="J887" s="57" t="n"/>
      <c r="K887" s="14" t="n"/>
      <c r="L887" s="22" t="n"/>
      <c r="M887" s="58" t="n"/>
      <c r="N887" s="22" t="n"/>
      <c r="O887" s="24">
        <f>IFERROR(IF(OR(M887="",M887=0),0,H887*VALUE(SUBSTITUTE(M887&amp;"","$",""))),0)</f>
        <v/>
      </c>
    </row>
    <row r="888" hidden="1" outlineLevel="1" ht="16" customHeight="1">
      <c r="A888" s="13" t="n"/>
      <c r="B888" s="25" t="n"/>
      <c r="C888" s="26" t="n"/>
      <c r="D888" s="56" t="n"/>
      <c r="E888" s="56" t="n"/>
      <c r="F888" s="27" t="n"/>
      <c r="G888" s="18">
        <f>IF(D888="Tandem",10,IF(D888="TT",22,IF(D888="Quad",25,"")))</f>
        <v/>
      </c>
      <c r="H888" s="28">
        <f>IFERROR(IF(F888*G888=0,0,F888*G888),0)</f>
        <v/>
      </c>
      <c r="I888" s="29" t="n"/>
      <c r="J888" s="57" t="n"/>
      <c r="K888" s="25" t="n"/>
      <c r="L888" s="30" t="n"/>
      <c r="M888" s="58" t="n"/>
      <c r="N888" s="30" t="n"/>
      <c r="O888" s="24">
        <f>IFERROR(IF(OR(M888="",M888=0),0,H888*VALUE(SUBSTITUTE(M888&amp;"","$",""))),0)</f>
        <v/>
      </c>
    </row>
    <row r="889" hidden="1" outlineLevel="1" ht="16" customHeight="1">
      <c r="A889" s="13" t="n"/>
      <c r="B889" s="14" t="n"/>
      <c r="C889" s="15" t="n"/>
      <c r="D889" s="56" t="n"/>
      <c r="E889" s="56" t="n"/>
      <c r="F889" s="17" t="n"/>
      <c r="G889" s="18">
        <f>IF(D889="Tandem",10,IF(D889="TT",22,IF(D889="Quad",25,"")))</f>
        <v/>
      </c>
      <c r="H889" s="19">
        <f>IFERROR(IF(F889*G889=0,0,F889*G889),0)</f>
        <v/>
      </c>
      <c r="I889" s="20" t="n"/>
      <c r="J889" s="57" t="n"/>
      <c r="K889" s="14" t="n"/>
      <c r="L889" s="22" t="n"/>
      <c r="M889" s="58" t="n"/>
      <c r="N889" s="22" t="n"/>
      <c r="O889" s="24">
        <f>IFERROR(IF(OR(M889="",M889=0),0,H889*VALUE(SUBSTITUTE(M889&amp;"","$",""))),0)</f>
        <v/>
      </c>
    </row>
    <row r="890" hidden="1" outlineLevel="1" ht="16" customHeight="1">
      <c r="A890" s="13" t="n"/>
      <c r="B890" s="25" t="n"/>
      <c r="C890" s="26" t="n"/>
      <c r="D890" s="56" t="n"/>
      <c r="E890" s="56" t="n"/>
      <c r="F890" s="27" t="n"/>
      <c r="G890" s="18">
        <f>IF(D890="Tandem",10,IF(D890="TT",22,IF(D890="Quad",25,"")))</f>
        <v/>
      </c>
      <c r="H890" s="28">
        <f>IFERROR(IF(F890*G890=0,0,F890*G890),0)</f>
        <v/>
      </c>
      <c r="I890" s="29" t="n"/>
      <c r="J890" s="57" t="n"/>
      <c r="K890" s="25" t="n"/>
      <c r="L890" s="30" t="n"/>
      <c r="M890" s="58" t="n"/>
      <c r="N890" s="30" t="n"/>
      <c r="O890" s="24">
        <f>IFERROR(IF(OR(M890="",M890=0),0,H890*VALUE(SUBSTITUTE(M890&amp;"","$",""))),0)</f>
        <v/>
      </c>
    </row>
    <row r="891" hidden="1" outlineLevel="1" ht="16" customHeight="1">
      <c r="A891" s="13" t="n"/>
      <c r="B891" s="14" t="n"/>
      <c r="C891" s="15" t="n"/>
      <c r="D891" s="56" t="n"/>
      <c r="E891" s="56" t="n"/>
      <c r="F891" s="17" t="n"/>
      <c r="G891" s="18">
        <f>IF(D891="Tandem",10,IF(D891="TT",22,IF(D891="Quad",25,"")))</f>
        <v/>
      </c>
      <c r="H891" s="19">
        <f>IFERROR(IF(F891*G891=0,0,F891*G891),0)</f>
        <v/>
      </c>
      <c r="I891" s="20" t="n"/>
      <c r="J891" s="57" t="n"/>
      <c r="K891" s="14" t="n"/>
      <c r="L891" s="22" t="n"/>
      <c r="M891" s="58" t="n"/>
      <c r="N891" s="22" t="n"/>
      <c r="O891" s="24">
        <f>IFERROR(IF(OR(M891="",M891=0),0,H891*VALUE(SUBSTITUTE(M891&amp;"","$",""))),0)</f>
        <v/>
      </c>
    </row>
    <row r="892" hidden="1" outlineLevel="1" ht="16" customHeight="1">
      <c r="A892" s="13" t="n"/>
      <c r="B892" s="25" t="n"/>
      <c r="C892" s="26" t="n"/>
      <c r="D892" s="56" t="n"/>
      <c r="E892" s="56" t="n"/>
      <c r="F892" s="27" t="n"/>
      <c r="G892" s="18">
        <f>IF(D892="Tandem",10,IF(D892="TT",22,IF(D892="Quad",25,"")))</f>
        <v/>
      </c>
      <c r="H892" s="28">
        <f>IFERROR(IF(F892*G892=0,0,F892*G892),0)</f>
        <v/>
      </c>
      <c r="I892" s="29" t="n"/>
      <c r="J892" s="57" t="n"/>
      <c r="K892" s="25" t="n"/>
      <c r="L892" s="30" t="n"/>
      <c r="M892" s="58" t="n"/>
      <c r="N892" s="30" t="n"/>
      <c r="O892" s="24">
        <f>IFERROR(IF(OR(M892="",M892=0),0,H892*VALUE(SUBSTITUTE(M892&amp;"","$",""))),0)</f>
        <v/>
      </c>
    </row>
    <row r="893" hidden="1" outlineLevel="1" ht="16" customHeight="1">
      <c r="A893" s="13" t="n"/>
      <c r="B893" s="14" t="n"/>
      <c r="C893" s="15" t="n"/>
      <c r="D893" s="56" t="n"/>
      <c r="E893" s="56" t="n"/>
      <c r="F893" s="17" t="n"/>
      <c r="G893" s="18">
        <f>IF(D893="Tandem",10,IF(D893="TT",22,IF(D893="Quad",25,"")))</f>
        <v/>
      </c>
      <c r="H893" s="19">
        <f>IFERROR(IF(F893*G893=0,0,F893*G893),0)</f>
        <v/>
      </c>
      <c r="I893" s="20" t="n"/>
      <c r="J893" s="57" t="n"/>
      <c r="K893" s="14" t="n"/>
      <c r="L893" s="22" t="n"/>
      <c r="M893" s="58" t="n"/>
      <c r="N893" s="22" t="n"/>
      <c r="O893" s="24">
        <f>IFERROR(IF(OR(M893="",M893=0),0,H893*VALUE(SUBSTITUTE(M893&amp;"","$",""))),0)</f>
        <v/>
      </c>
    </row>
    <row r="894" hidden="1" outlineLevel="1" ht="16" customHeight="1">
      <c r="A894" s="13" t="n"/>
      <c r="B894" s="25" t="n"/>
      <c r="C894" s="26" t="n"/>
      <c r="D894" s="56" t="n"/>
      <c r="E894" s="56" t="n"/>
      <c r="F894" s="27" t="n"/>
      <c r="G894" s="18">
        <f>IF(D894="Tandem",10,IF(D894="TT",22,IF(D894="Quad",25,"")))</f>
        <v/>
      </c>
      <c r="H894" s="28">
        <f>IFERROR(IF(F894*G894=0,0,F894*G894),0)</f>
        <v/>
      </c>
      <c r="I894" s="29" t="n"/>
      <c r="J894" s="57" t="n"/>
      <c r="K894" s="25" t="n"/>
      <c r="L894" s="30" t="n"/>
      <c r="M894" s="58" t="n"/>
      <c r="N894" s="30" t="n"/>
      <c r="O894" s="24">
        <f>IFERROR(IF(OR(M894="",M894=0),0,H894*VALUE(SUBSTITUTE(M894&amp;"","$",""))),0)</f>
        <v/>
      </c>
    </row>
    <row r="895" hidden="1" outlineLevel="1" ht="16" customHeight="1">
      <c r="A895" s="13" t="n"/>
      <c r="B895" s="14" t="n"/>
      <c r="C895" s="15" t="n"/>
      <c r="D895" s="56" t="n"/>
      <c r="E895" s="56" t="n"/>
      <c r="F895" s="17" t="n"/>
      <c r="G895" s="18">
        <f>IF(D895="Tandem",10,IF(D895="TT",22,IF(D895="Quad",25,"")))</f>
        <v/>
      </c>
      <c r="H895" s="19">
        <f>IFERROR(IF(F895*G895=0,0,F895*G895),0)</f>
        <v/>
      </c>
      <c r="I895" s="20" t="n"/>
      <c r="J895" s="57" t="n"/>
      <c r="K895" s="14" t="n"/>
      <c r="L895" s="22" t="n"/>
      <c r="M895" s="58" t="n"/>
      <c r="N895" s="22" t="n"/>
      <c r="O895" s="24">
        <f>IFERROR(IF(OR(M895="",M895=0),0,H895*VALUE(SUBSTITUTE(M895&amp;"","$",""))),0)</f>
        <v/>
      </c>
    </row>
    <row r="896" hidden="1" outlineLevel="1" ht="16" customHeight="1">
      <c r="A896" s="13" t="n"/>
      <c r="B896" s="25" t="n"/>
      <c r="C896" s="26" t="n"/>
      <c r="D896" s="56" t="n"/>
      <c r="E896" s="56" t="n"/>
      <c r="F896" s="27" t="n"/>
      <c r="G896" s="18">
        <f>IF(D896="Tandem",10,IF(D896="TT",22,IF(D896="Quad",25,"")))</f>
        <v/>
      </c>
      <c r="H896" s="28">
        <f>IFERROR(IF(F896*G896=0,0,F896*G896),0)</f>
        <v/>
      </c>
      <c r="I896" s="29" t="n"/>
      <c r="J896" s="57" t="n"/>
      <c r="K896" s="25" t="n"/>
      <c r="L896" s="30" t="n"/>
      <c r="M896" s="58" t="n"/>
      <c r="N896" s="30" t="n"/>
      <c r="O896" s="24">
        <f>IFERROR(IF(OR(M896="",M896=0),0,H896*VALUE(SUBSTITUTE(M896&amp;"","$",""))),0)</f>
        <v/>
      </c>
    </row>
    <row r="897" hidden="1" outlineLevel="1" ht="16" customHeight="1">
      <c r="A897" s="13" t="n"/>
      <c r="B897" s="14" t="n"/>
      <c r="C897" s="15" t="n"/>
      <c r="D897" s="56" t="n"/>
      <c r="E897" s="56" t="n"/>
      <c r="F897" s="17" t="n"/>
      <c r="G897" s="18">
        <f>IF(D897="Tandem",10,IF(D897="TT",22,IF(D897="Quad",25,"")))</f>
        <v/>
      </c>
      <c r="H897" s="19">
        <f>IFERROR(IF(F897*G897=0,0,F897*G897),0)</f>
        <v/>
      </c>
      <c r="I897" s="20" t="n"/>
      <c r="J897" s="57" t="n"/>
      <c r="K897" s="14" t="n"/>
      <c r="L897" s="22" t="n"/>
      <c r="M897" s="58" t="n"/>
      <c r="N897" s="22" t="n"/>
      <c r="O897" s="24">
        <f>IFERROR(IF(OR(M897="",M897=0),0,H897*VALUE(SUBSTITUTE(M897&amp;"","$",""))),0)</f>
        <v/>
      </c>
    </row>
    <row r="898" hidden="1" outlineLevel="1" ht="16" customHeight="1">
      <c r="A898" s="13" t="n"/>
      <c r="B898" s="25" t="n"/>
      <c r="C898" s="26" t="n"/>
      <c r="D898" s="56" t="n"/>
      <c r="E898" s="56" t="n"/>
      <c r="F898" s="27" t="n"/>
      <c r="G898" s="18">
        <f>IF(D898="Tandem",10,IF(D898="TT",22,IF(D898="Quad",25,"")))</f>
        <v/>
      </c>
      <c r="H898" s="28">
        <f>IFERROR(IF(F898*G898=0,0,F898*G898),0)</f>
        <v/>
      </c>
      <c r="I898" s="29" t="n"/>
      <c r="J898" s="57" t="n"/>
      <c r="K898" s="25" t="n"/>
      <c r="L898" s="30" t="n"/>
      <c r="M898" s="58" t="n"/>
      <c r="N898" s="30" t="n"/>
      <c r="O898" s="24">
        <f>IFERROR(IF(OR(M898="",M898=0),0,H898*VALUE(SUBSTITUTE(M898&amp;"","$",""))),0)</f>
        <v/>
      </c>
    </row>
    <row r="899" hidden="1" outlineLevel="1" ht="16" customHeight="1">
      <c r="A899" s="13" t="n"/>
      <c r="B899" s="14" t="n"/>
      <c r="C899" s="15" t="n"/>
      <c r="D899" s="56" t="n"/>
      <c r="E899" s="56" t="n"/>
      <c r="F899" s="17" t="n"/>
      <c r="G899" s="18">
        <f>IF(D899="Tandem",10,IF(D899="TT",22,IF(D899="Quad",25,"")))</f>
        <v/>
      </c>
      <c r="H899" s="19">
        <f>IFERROR(IF(F899*G899=0,0,F899*G899),0)</f>
        <v/>
      </c>
      <c r="I899" s="20" t="n"/>
      <c r="J899" s="57" t="n"/>
      <c r="K899" s="14" t="n"/>
      <c r="L899" s="22" t="n"/>
      <c r="M899" s="58" t="n"/>
      <c r="N899" s="22" t="n"/>
      <c r="O899" s="24">
        <f>IFERROR(IF(OR(M899="",M899=0),0,H899*VALUE(SUBSTITUTE(M899&amp;"","$",""))),0)</f>
        <v/>
      </c>
    </row>
    <row r="900" hidden="1" outlineLevel="1" ht="16" customHeight="1">
      <c r="A900" s="13" t="n"/>
      <c r="B900" s="25" t="n"/>
      <c r="C900" s="26" t="n"/>
      <c r="D900" s="56" t="n"/>
      <c r="E900" s="56" t="n"/>
      <c r="F900" s="27" t="n"/>
      <c r="G900" s="18">
        <f>IF(D900="Tandem",10,IF(D900="TT",22,IF(D900="Quad",25,"")))</f>
        <v/>
      </c>
      <c r="H900" s="28">
        <f>IFERROR(IF(F900*G900=0,0,F900*G900),0)</f>
        <v/>
      </c>
      <c r="I900" s="29" t="n"/>
      <c r="J900" s="57" t="n"/>
      <c r="K900" s="25" t="n"/>
      <c r="L900" s="30" t="n"/>
      <c r="M900" s="58" t="n"/>
      <c r="N900" s="30" t="n"/>
      <c r="O900" s="24">
        <f>IFERROR(IF(OR(M900="",M900=0),0,H900*VALUE(SUBSTITUTE(M900&amp;"","$",""))),0)</f>
        <v/>
      </c>
    </row>
    <row r="901" hidden="1" outlineLevel="1" ht="16" customHeight="1">
      <c r="A901" s="13" t="n"/>
      <c r="B901" s="14" t="n"/>
      <c r="C901" s="15" t="n"/>
      <c r="D901" s="56" t="n"/>
      <c r="E901" s="56" t="n"/>
      <c r="F901" s="17" t="n"/>
      <c r="G901" s="18">
        <f>IF(D901="Tandem",10,IF(D901="TT",22,IF(D901="Quad",25,"")))</f>
        <v/>
      </c>
      <c r="H901" s="19">
        <f>IFERROR(IF(F901*G901=0,0,F901*G901),0)</f>
        <v/>
      </c>
      <c r="I901" s="20" t="n"/>
      <c r="J901" s="57" t="n"/>
      <c r="K901" s="14" t="n"/>
      <c r="L901" s="22" t="n"/>
      <c r="M901" s="58" t="n"/>
      <c r="N901" s="22" t="n"/>
      <c r="O901" s="24">
        <f>IFERROR(IF(OR(M901="",M901=0),0,H901*VALUE(SUBSTITUTE(M901&amp;"","$",""))),0)</f>
        <v/>
      </c>
    </row>
    <row r="902" hidden="1" outlineLevel="1" ht="16" customHeight="1">
      <c r="A902" s="13" t="n"/>
      <c r="B902" s="25" t="n"/>
      <c r="C902" s="26" t="n"/>
      <c r="D902" s="56" t="n"/>
      <c r="E902" s="56" t="n"/>
      <c r="F902" s="27" t="n"/>
      <c r="G902" s="18">
        <f>IF(D902="Tandem",10,IF(D902="TT",22,IF(D902="Quad",25,"")))</f>
        <v/>
      </c>
      <c r="H902" s="28">
        <f>IFERROR(IF(F902*G902=0,0,F902*G902),0)</f>
        <v/>
      </c>
      <c r="I902" s="29" t="n"/>
      <c r="J902" s="57" t="n"/>
      <c r="K902" s="25" t="n"/>
      <c r="L902" s="30" t="n"/>
      <c r="M902" s="58" t="n"/>
      <c r="N902" s="30" t="n"/>
      <c r="O902" s="24">
        <f>IFERROR(IF(OR(M902="",M902=0),0,H902*VALUE(SUBSTITUTE(M902&amp;"","$",""))),0)</f>
        <v/>
      </c>
    </row>
    <row r="903" hidden="1" outlineLevel="1" ht="16" customHeight="1">
      <c r="A903" s="13" t="n"/>
      <c r="B903" s="14" t="n"/>
      <c r="C903" s="15" t="n"/>
      <c r="D903" s="56" t="n"/>
      <c r="E903" s="56" t="n"/>
      <c r="F903" s="17" t="n"/>
      <c r="G903" s="18">
        <f>IF(D903="Tandem",10,IF(D903="TT",22,IF(D903="Quad",25,"")))</f>
        <v/>
      </c>
      <c r="H903" s="19">
        <f>IFERROR(IF(F903*G903=0,0,F903*G903),0)</f>
        <v/>
      </c>
      <c r="I903" s="20" t="n"/>
      <c r="J903" s="57" t="n"/>
      <c r="K903" s="14" t="n"/>
      <c r="L903" s="22" t="n"/>
      <c r="M903" s="58" t="n"/>
      <c r="N903" s="22" t="n"/>
      <c r="O903" s="24">
        <f>IFERROR(IF(OR(M903="",M903=0),0,H903*VALUE(SUBSTITUTE(M903&amp;"","$",""))),0)</f>
        <v/>
      </c>
    </row>
    <row r="904" hidden="1" outlineLevel="1" ht="16" customHeight="1">
      <c r="A904" s="13" t="n"/>
      <c r="B904" s="25" t="n"/>
      <c r="C904" s="26" t="n"/>
      <c r="D904" s="56" t="n"/>
      <c r="E904" s="56" t="n"/>
      <c r="F904" s="27" t="n"/>
      <c r="G904" s="18">
        <f>IF(D904="Tandem",10,IF(D904="TT",22,IF(D904="Quad",25,"")))</f>
        <v/>
      </c>
      <c r="H904" s="28">
        <f>IFERROR(IF(F904*G904=0,0,F904*G904),0)</f>
        <v/>
      </c>
      <c r="I904" s="29" t="n"/>
      <c r="J904" s="57" t="n"/>
      <c r="K904" s="25" t="n"/>
      <c r="L904" s="30" t="n"/>
      <c r="M904" s="58" t="n"/>
      <c r="N904" s="30" t="n"/>
      <c r="O904" s="24">
        <f>IFERROR(IF(OR(M904="",M904=0),0,H904*VALUE(SUBSTITUTE(M904&amp;"","$",""))),0)</f>
        <v/>
      </c>
    </row>
    <row r="905" hidden="1" outlineLevel="1" ht="16" customHeight="1">
      <c r="A905" s="13" t="n"/>
      <c r="B905" s="14" t="n"/>
      <c r="C905" s="15" t="n"/>
      <c r="D905" s="56" t="n"/>
      <c r="E905" s="56" t="n"/>
      <c r="F905" s="17" t="n"/>
      <c r="G905" s="18">
        <f>IF(D905="Tandem",10,IF(D905="TT",22,IF(D905="Quad",25,"")))</f>
        <v/>
      </c>
      <c r="H905" s="19">
        <f>IFERROR(IF(F905*G905=0,0,F905*G905),0)</f>
        <v/>
      </c>
      <c r="I905" s="20" t="n"/>
      <c r="J905" s="57" t="n"/>
      <c r="K905" s="14" t="n"/>
      <c r="L905" s="22" t="n"/>
      <c r="M905" s="58" t="n"/>
      <c r="N905" s="22" t="n"/>
      <c r="O905" s="24">
        <f>IFERROR(IF(OR(M905="",M905=0),0,H905*VALUE(SUBSTITUTE(M905&amp;"","$",""))),0)</f>
        <v/>
      </c>
    </row>
    <row r="906" hidden="1" outlineLevel="1" ht="16" customHeight="1">
      <c r="A906" s="13" t="n"/>
      <c r="B906" s="25" t="n"/>
      <c r="C906" s="26" t="n"/>
      <c r="D906" s="56" t="n"/>
      <c r="E906" s="56" t="n"/>
      <c r="F906" s="27" t="n"/>
      <c r="G906" s="18">
        <f>IF(D906="Tandem",10,IF(D906="TT",22,IF(D906="Quad",25,"")))</f>
        <v/>
      </c>
      <c r="H906" s="28">
        <f>IFERROR(IF(F906*G906=0,0,F906*G906),0)</f>
        <v/>
      </c>
      <c r="I906" s="29" t="n"/>
      <c r="J906" s="57" t="n"/>
      <c r="K906" s="25" t="n"/>
      <c r="L906" s="30" t="n"/>
      <c r="M906" s="58" t="n"/>
      <c r="N906" s="30" t="n"/>
      <c r="O906" s="24">
        <f>IFERROR(IF(OR(M906="",M906=0),0,H906*VALUE(SUBSTITUTE(M906&amp;"","$",""))),0)</f>
        <v/>
      </c>
    </row>
    <row r="907" hidden="1" outlineLevel="1" ht="16" customHeight="1">
      <c r="A907" s="13" t="n"/>
      <c r="B907" s="14" t="n"/>
      <c r="C907" s="15" t="n"/>
      <c r="D907" s="56" t="n"/>
      <c r="E907" s="56" t="n"/>
      <c r="F907" s="17" t="n"/>
      <c r="G907" s="18">
        <f>IF(D907="Tandem",10,IF(D907="TT",22,IF(D907="Quad",25,"")))</f>
        <v/>
      </c>
      <c r="H907" s="19">
        <f>IFERROR(IF(F907*G907=0,0,F907*G907),0)</f>
        <v/>
      </c>
      <c r="I907" s="20" t="n"/>
      <c r="J907" s="57" t="n"/>
      <c r="K907" s="14" t="n"/>
      <c r="L907" s="22" t="n"/>
      <c r="M907" s="58" t="n"/>
      <c r="N907" s="22" t="n"/>
      <c r="O907" s="24">
        <f>IFERROR(IF(OR(M907="",M907=0),0,H907*VALUE(SUBSTITUTE(M907&amp;"","$",""))),0)</f>
        <v/>
      </c>
    </row>
    <row r="908" hidden="1" outlineLevel="1" ht="16" customHeight="1">
      <c r="A908" s="13" t="n"/>
      <c r="B908" s="25" t="n"/>
      <c r="C908" s="26" t="n"/>
      <c r="D908" s="56" t="n"/>
      <c r="E908" s="56" t="n"/>
      <c r="F908" s="27" t="n"/>
      <c r="G908" s="18">
        <f>IF(D908="Tandem",10,IF(D908="TT",22,IF(D908="Quad",25,"")))</f>
        <v/>
      </c>
      <c r="H908" s="28">
        <f>IFERROR(IF(F908*G908=0,0,F908*G908),0)</f>
        <v/>
      </c>
      <c r="I908" s="29" t="n"/>
      <c r="J908" s="57" t="n"/>
      <c r="K908" s="25" t="n"/>
      <c r="L908" s="30" t="n"/>
      <c r="M908" s="58" t="n"/>
      <c r="N908" s="30" t="n"/>
      <c r="O908" s="24">
        <f>IFERROR(IF(OR(M908="",M908=0),0,H908*VALUE(SUBSTITUTE(M908&amp;"","$",""))),0)</f>
        <v/>
      </c>
    </row>
    <row r="909" hidden="1" outlineLevel="1" ht="16" customHeight="1">
      <c r="A909" s="13" t="n"/>
      <c r="B909" s="14" t="n"/>
      <c r="C909" s="15" t="n"/>
      <c r="D909" s="56" t="n"/>
      <c r="E909" s="56" t="n"/>
      <c r="F909" s="17" t="n"/>
      <c r="G909" s="18">
        <f>IF(D909="Tandem",10,IF(D909="TT",22,IF(D909="Quad",25,"")))</f>
        <v/>
      </c>
      <c r="H909" s="19">
        <f>IFERROR(IF(F909*G909=0,0,F909*G909),0)</f>
        <v/>
      </c>
      <c r="I909" s="20" t="n"/>
      <c r="J909" s="57" t="n"/>
      <c r="K909" s="14" t="n"/>
      <c r="L909" s="22" t="n"/>
      <c r="M909" s="58" t="n"/>
      <c r="N909" s="22" t="n"/>
      <c r="O909" s="24">
        <f>IFERROR(IF(OR(M909="",M909=0),0,H909*VALUE(SUBSTITUTE(M909&amp;"","$",""))),0)</f>
        <v/>
      </c>
    </row>
    <row r="910" hidden="1" outlineLevel="1" ht="16" customHeight="1">
      <c r="A910" s="13" t="n"/>
      <c r="B910" s="25" t="n"/>
      <c r="C910" s="26" t="n"/>
      <c r="D910" s="56" t="n"/>
      <c r="E910" s="56" t="n"/>
      <c r="F910" s="27" t="n"/>
      <c r="G910" s="18">
        <f>IF(D910="Tandem",10,IF(D910="TT",22,IF(D910="Quad",25,"")))</f>
        <v/>
      </c>
      <c r="H910" s="28">
        <f>IFERROR(IF(F910*G910=0,0,F910*G910),0)</f>
        <v/>
      </c>
      <c r="I910" s="29" t="n"/>
      <c r="J910" s="57" t="n"/>
      <c r="K910" s="25" t="n"/>
      <c r="L910" s="30" t="n"/>
      <c r="M910" s="58" t="n"/>
      <c r="N910" s="30" t="n"/>
      <c r="O910" s="24">
        <f>IFERROR(IF(OR(M910="",M910=0),0,H910*VALUE(SUBSTITUTE(M910&amp;"","$",""))),0)</f>
        <v/>
      </c>
    </row>
    <row r="911" hidden="1" outlineLevel="1" ht="16" customHeight="1">
      <c r="A911" s="13" t="n"/>
      <c r="B911" s="14" t="n"/>
      <c r="C911" s="15" t="n"/>
      <c r="D911" s="56" t="n"/>
      <c r="E911" s="56" t="n"/>
      <c r="F911" s="17" t="n"/>
      <c r="G911" s="18">
        <f>IF(D911="Tandem",10,IF(D911="TT",22,IF(D911="Quad",25,"")))</f>
        <v/>
      </c>
      <c r="H911" s="19">
        <f>IFERROR(IF(F911*G911=0,0,F911*G911),0)</f>
        <v/>
      </c>
      <c r="I911" s="20" t="n"/>
      <c r="J911" s="57" t="n"/>
      <c r="K911" s="14" t="n"/>
      <c r="L911" s="22" t="n"/>
      <c r="M911" s="58" t="n"/>
      <c r="N911" s="22" t="n"/>
      <c r="O911" s="24">
        <f>IFERROR(IF(OR(M911="",M911=0),0,H911*VALUE(SUBSTITUTE(M911&amp;"","$",""))),0)</f>
        <v/>
      </c>
    </row>
    <row r="912" hidden="1" outlineLevel="1" ht="16" customHeight="1">
      <c r="A912" s="13" t="n"/>
      <c r="B912" s="25" t="n"/>
      <c r="C912" s="26" t="n"/>
      <c r="D912" s="56" t="n"/>
      <c r="E912" s="56" t="n"/>
      <c r="F912" s="27" t="n"/>
      <c r="G912" s="18">
        <f>IF(D912="Tandem",10,IF(D912="TT",22,IF(D912="Quad",25,"")))</f>
        <v/>
      </c>
      <c r="H912" s="28">
        <f>IFERROR(IF(F912*G912=0,0,F912*G912),0)</f>
        <v/>
      </c>
      <c r="I912" s="29" t="n"/>
      <c r="J912" s="57" t="n"/>
      <c r="K912" s="25" t="n"/>
      <c r="L912" s="30" t="n"/>
      <c r="M912" s="58" t="n"/>
      <c r="N912" s="30" t="n"/>
      <c r="O912" s="24">
        <f>IFERROR(IF(OR(M912="",M912=0),0,H912*VALUE(SUBSTITUTE(M912&amp;"","$",""))),0)</f>
        <v/>
      </c>
    </row>
    <row r="913" hidden="1" outlineLevel="1" ht="20" customHeight="1">
      <c r="A913" s="59" t="inlineStr">
        <is>
          <t>Daily Notes:</t>
        </is>
      </c>
      <c r="B913" s="54" t="n"/>
      <c r="C913" s="54" t="n"/>
      <c r="D913" s="54" t="n"/>
      <c r="E913" s="54" t="n"/>
      <c r="F913" s="54" t="n"/>
      <c r="G913" s="54" t="n"/>
      <c r="H913" s="54" t="n"/>
      <c r="I913" s="54" t="n"/>
      <c r="J913" s="54" t="n"/>
      <c r="K913" s="54" t="n"/>
      <c r="L913" s="54" t="n"/>
      <c r="M913" s="54" t="n"/>
      <c r="N913" s="50" t="n"/>
      <c r="O913" s="60" t="n"/>
    </row>
    <row r="914" hidden="1" outlineLevel="1" ht="18" customHeight="1">
      <c r="A914" s="32" t="inlineStr">
        <is>
          <t>DAILY TOTAL</t>
        </is>
      </c>
      <c r="B914" s="54" t="n"/>
      <c r="C914" s="54" t="n"/>
      <c r="D914" s="54" t="n"/>
      <c r="E914" s="54" t="n"/>
      <c r="F914" s="54" t="n"/>
      <c r="G914" s="50" t="n"/>
      <c r="H914" s="34">
        <f>SUM(H883:H912)</f>
        <v/>
      </c>
      <c r="I914" s="35">
        <f>SUM(I883:I912)</f>
        <v/>
      </c>
      <c r="J914" s="61" t="n"/>
      <c r="K914" s="61" t="n"/>
      <c r="L914" s="61" t="n"/>
      <c r="M914" s="36">
        <f>SUM(O883:O912)</f>
        <v/>
      </c>
      <c r="N914" s="61" t="n"/>
      <c r="O914" s="62" t="n"/>
    </row>
    <row r="915" hidden="1" outlineLevel="1" ht="18" customHeight="1">
      <c r="A915" s="2" t="inlineStr">
        <is>
          <t>▶ RUNNING TOTAL</t>
        </is>
      </c>
      <c r="B915" s="54" t="n"/>
      <c r="C915" s="54" t="n"/>
      <c r="D915" s="54" t="n"/>
      <c r="E915" s="54" t="n"/>
      <c r="F915" s="54" t="n"/>
      <c r="G915" s="50" t="n"/>
      <c r="H915" s="37">
        <f>H50+H86+H122+H158+H194+H230+H266+H302+H338+H374+H410+H446+H482+H518+H554+H590+H626+H662+H698+H734+H770+H806+H842+H878+H914</f>
        <v/>
      </c>
      <c r="I915" s="63" t="n"/>
      <c r="J915" s="63" t="n"/>
      <c r="K915" s="63" t="n"/>
      <c r="L915" s="63" t="n"/>
      <c r="M915" s="38">
        <f>M50+M86+M122+M158+M194+M230+M266+M302+M338+M374+M410+M446+M482+M518+M554+M590+M626+M662+M698+M734+M770+M806+M842+M878+M914</f>
        <v/>
      </c>
      <c r="N915" s="63" t="n"/>
      <c r="O915" s="64" t="n"/>
    </row>
    <row r="916" hidden="1" outlineLevel="1" ht="8" customHeight="1"/>
    <row r="917" ht="22" customHeight="1">
      <c r="A917" s="55" t="inlineStr">
        <is>
          <t>DAY 26</t>
        </is>
      </c>
      <c r="B917" s="54" t="n"/>
      <c r="C917" s="54" t="n"/>
      <c r="D917" s="54" t="n"/>
      <c r="E917" s="54" t="n"/>
      <c r="F917" s="54" t="n"/>
      <c r="G917" s="54" t="n"/>
      <c r="H917" s="54" t="n"/>
      <c r="I917" s="54" t="n"/>
      <c r="J917" s="54" t="n"/>
      <c r="K917" s="54" t="n"/>
      <c r="L917" s="54" t="n"/>
      <c r="M917" s="54" t="n"/>
      <c r="N917" s="50" t="n"/>
    </row>
    <row r="918" hidden="1" outlineLevel="1" ht="28" customHeight="1">
      <c r="A918" s="12" t="inlineStr">
        <is>
          <t>Date</t>
        </is>
      </c>
      <c r="B918" s="12" t="inlineStr">
        <is>
          <t>Cartage Company</t>
        </is>
      </c>
      <c r="C918" s="12" t="inlineStr">
        <is>
          <t>Truck Rego</t>
        </is>
      </c>
      <c r="D918" s="12" t="inlineStr">
        <is>
          <t>Truck Type</t>
        </is>
      </c>
      <c r="E918" s="12" t="inlineStr">
        <is>
          <t>Exp / Imp</t>
        </is>
      </c>
      <c r="F918" s="12" t="inlineStr">
        <is>
          <t>Loads</t>
        </is>
      </c>
      <c r="G918" s="12" t="inlineStr">
        <is>
          <t>m³ / Load</t>
        </is>
      </c>
      <c r="H918" s="12" t="inlineStr">
        <is>
          <t>Total m³</t>
        </is>
      </c>
      <c r="I918" s="12" t="inlineStr">
        <is>
          <t>Hours</t>
        </is>
      </c>
      <c r="J918" s="12" t="inlineStr">
        <is>
          <t>Material</t>
        </is>
      </c>
      <c r="K918" s="12" t="inlineStr">
        <is>
          <t>Tip Site</t>
        </is>
      </c>
      <c r="L918" s="12" t="inlineStr">
        <is>
          <t>Docket #</t>
        </is>
      </c>
      <c r="M918" s="12" t="inlineStr">
        <is>
          <t>Rate Paid ($/m³)</t>
        </is>
      </c>
      <c r="N918" s="12" t="inlineStr">
        <is>
          <t>Invoice #</t>
        </is>
      </c>
    </row>
    <row r="919" hidden="1" outlineLevel="1" ht="16" customHeight="1">
      <c r="A919" s="13" t="n"/>
      <c r="B919" s="14" t="n"/>
      <c r="C919" s="15" t="n"/>
      <c r="D919" s="56" t="n"/>
      <c r="E919" s="56" t="n"/>
      <c r="F919" s="17" t="n"/>
      <c r="G919" s="18">
        <f>IF(D919="Tandem",10,IF(D919="TT",22,IF(D919="Quad",25,"")))</f>
        <v/>
      </c>
      <c r="H919" s="19">
        <f>IFERROR(IF(F919*G919=0,0,F919*G919),0)</f>
        <v/>
      </c>
      <c r="I919" s="20" t="n"/>
      <c r="J919" s="57" t="n"/>
      <c r="K919" s="14" t="n"/>
      <c r="L919" s="22" t="n"/>
      <c r="M919" s="58" t="n"/>
      <c r="N919" s="22" t="n"/>
      <c r="O919" s="24">
        <f>IFERROR(IF(OR(M919="",M919=0),0,H919*VALUE(SUBSTITUTE(M919&amp;"","$",""))),0)</f>
        <v/>
      </c>
    </row>
    <row r="920" hidden="1" outlineLevel="1" ht="16" customHeight="1">
      <c r="A920" s="13" t="n"/>
      <c r="B920" s="25" t="n"/>
      <c r="C920" s="26" t="n"/>
      <c r="D920" s="56" t="n"/>
      <c r="E920" s="56" t="n"/>
      <c r="F920" s="27" t="n"/>
      <c r="G920" s="18">
        <f>IF(D920="Tandem",10,IF(D920="TT",22,IF(D920="Quad",25,"")))</f>
        <v/>
      </c>
      <c r="H920" s="28">
        <f>IFERROR(IF(F920*G920=0,0,F920*G920),0)</f>
        <v/>
      </c>
      <c r="I920" s="29" t="n"/>
      <c r="J920" s="57" t="n"/>
      <c r="K920" s="25" t="n"/>
      <c r="L920" s="30" t="n"/>
      <c r="M920" s="58" t="n"/>
      <c r="N920" s="30" t="n"/>
      <c r="O920" s="24">
        <f>IFERROR(IF(OR(M920="",M920=0),0,H920*VALUE(SUBSTITUTE(M920&amp;"","$",""))),0)</f>
        <v/>
      </c>
    </row>
    <row r="921" hidden="1" outlineLevel="1" ht="16" customHeight="1">
      <c r="A921" s="13" t="n"/>
      <c r="B921" s="14" t="n"/>
      <c r="C921" s="15" t="n"/>
      <c r="D921" s="56" t="n"/>
      <c r="E921" s="56" t="n"/>
      <c r="F921" s="17" t="n"/>
      <c r="G921" s="18">
        <f>IF(D921="Tandem",10,IF(D921="TT",22,IF(D921="Quad",25,"")))</f>
        <v/>
      </c>
      <c r="H921" s="19">
        <f>IFERROR(IF(F921*G921=0,0,F921*G921),0)</f>
        <v/>
      </c>
      <c r="I921" s="20" t="n"/>
      <c r="J921" s="57" t="n"/>
      <c r="K921" s="14" t="n"/>
      <c r="L921" s="22" t="n"/>
      <c r="M921" s="58" t="n"/>
      <c r="N921" s="22" t="n"/>
      <c r="O921" s="24">
        <f>IFERROR(IF(OR(M921="",M921=0),0,H921*VALUE(SUBSTITUTE(M921&amp;"","$",""))),0)</f>
        <v/>
      </c>
    </row>
    <row r="922" hidden="1" outlineLevel="1" ht="16" customHeight="1">
      <c r="A922" s="13" t="n"/>
      <c r="B922" s="25" t="n"/>
      <c r="C922" s="26" t="n"/>
      <c r="D922" s="56" t="n"/>
      <c r="E922" s="56" t="n"/>
      <c r="F922" s="27" t="n"/>
      <c r="G922" s="18">
        <f>IF(D922="Tandem",10,IF(D922="TT",22,IF(D922="Quad",25,"")))</f>
        <v/>
      </c>
      <c r="H922" s="28">
        <f>IFERROR(IF(F922*G922=0,0,F922*G922),0)</f>
        <v/>
      </c>
      <c r="I922" s="29" t="n"/>
      <c r="J922" s="57" t="n"/>
      <c r="K922" s="25" t="n"/>
      <c r="L922" s="30" t="n"/>
      <c r="M922" s="58" t="n"/>
      <c r="N922" s="30" t="n"/>
      <c r="O922" s="24">
        <f>IFERROR(IF(OR(M922="",M922=0),0,H922*VALUE(SUBSTITUTE(M922&amp;"","$",""))),0)</f>
        <v/>
      </c>
    </row>
    <row r="923" hidden="1" outlineLevel="1" ht="16" customHeight="1">
      <c r="A923" s="13" t="n"/>
      <c r="B923" s="14" t="n"/>
      <c r="C923" s="15" t="n"/>
      <c r="D923" s="56" t="n"/>
      <c r="E923" s="56" t="n"/>
      <c r="F923" s="17" t="n"/>
      <c r="G923" s="18">
        <f>IF(D923="Tandem",10,IF(D923="TT",22,IF(D923="Quad",25,"")))</f>
        <v/>
      </c>
      <c r="H923" s="19">
        <f>IFERROR(IF(F923*G923=0,0,F923*G923),0)</f>
        <v/>
      </c>
      <c r="I923" s="20" t="n"/>
      <c r="J923" s="57" t="n"/>
      <c r="K923" s="14" t="n"/>
      <c r="L923" s="22" t="n"/>
      <c r="M923" s="58" t="n"/>
      <c r="N923" s="22" t="n"/>
      <c r="O923" s="24">
        <f>IFERROR(IF(OR(M923="",M923=0),0,H923*VALUE(SUBSTITUTE(M923&amp;"","$",""))),0)</f>
        <v/>
      </c>
    </row>
    <row r="924" hidden="1" outlineLevel="1" ht="16" customHeight="1">
      <c r="A924" s="13" t="n"/>
      <c r="B924" s="25" t="n"/>
      <c r="C924" s="26" t="n"/>
      <c r="D924" s="56" t="n"/>
      <c r="E924" s="56" t="n"/>
      <c r="F924" s="27" t="n"/>
      <c r="G924" s="18">
        <f>IF(D924="Tandem",10,IF(D924="TT",22,IF(D924="Quad",25,"")))</f>
        <v/>
      </c>
      <c r="H924" s="28">
        <f>IFERROR(IF(F924*G924=0,0,F924*G924),0)</f>
        <v/>
      </c>
      <c r="I924" s="29" t="n"/>
      <c r="J924" s="57" t="n"/>
      <c r="K924" s="25" t="n"/>
      <c r="L924" s="30" t="n"/>
      <c r="M924" s="58" t="n"/>
      <c r="N924" s="30" t="n"/>
      <c r="O924" s="24">
        <f>IFERROR(IF(OR(M924="",M924=0),0,H924*VALUE(SUBSTITUTE(M924&amp;"","$",""))),0)</f>
        <v/>
      </c>
    </row>
    <row r="925" hidden="1" outlineLevel="1" ht="16" customHeight="1">
      <c r="A925" s="13" t="n"/>
      <c r="B925" s="14" t="n"/>
      <c r="C925" s="15" t="n"/>
      <c r="D925" s="56" t="n"/>
      <c r="E925" s="56" t="n"/>
      <c r="F925" s="17" t="n"/>
      <c r="G925" s="18">
        <f>IF(D925="Tandem",10,IF(D925="TT",22,IF(D925="Quad",25,"")))</f>
        <v/>
      </c>
      <c r="H925" s="19">
        <f>IFERROR(IF(F925*G925=0,0,F925*G925),0)</f>
        <v/>
      </c>
      <c r="I925" s="20" t="n"/>
      <c r="J925" s="57" t="n"/>
      <c r="K925" s="14" t="n"/>
      <c r="L925" s="22" t="n"/>
      <c r="M925" s="58" t="n"/>
      <c r="N925" s="22" t="n"/>
      <c r="O925" s="24">
        <f>IFERROR(IF(OR(M925="",M925=0),0,H925*VALUE(SUBSTITUTE(M925&amp;"","$",""))),0)</f>
        <v/>
      </c>
    </row>
    <row r="926" hidden="1" outlineLevel="1" ht="16" customHeight="1">
      <c r="A926" s="13" t="n"/>
      <c r="B926" s="25" t="n"/>
      <c r="C926" s="26" t="n"/>
      <c r="D926" s="56" t="n"/>
      <c r="E926" s="56" t="n"/>
      <c r="F926" s="27" t="n"/>
      <c r="G926" s="18">
        <f>IF(D926="Tandem",10,IF(D926="TT",22,IF(D926="Quad",25,"")))</f>
        <v/>
      </c>
      <c r="H926" s="28">
        <f>IFERROR(IF(F926*G926=0,0,F926*G926),0)</f>
        <v/>
      </c>
      <c r="I926" s="29" t="n"/>
      <c r="J926" s="57" t="n"/>
      <c r="K926" s="25" t="n"/>
      <c r="L926" s="30" t="n"/>
      <c r="M926" s="58" t="n"/>
      <c r="N926" s="30" t="n"/>
      <c r="O926" s="24">
        <f>IFERROR(IF(OR(M926="",M926=0),0,H926*VALUE(SUBSTITUTE(M926&amp;"","$",""))),0)</f>
        <v/>
      </c>
    </row>
    <row r="927" hidden="1" outlineLevel="1" ht="16" customHeight="1">
      <c r="A927" s="13" t="n"/>
      <c r="B927" s="14" t="n"/>
      <c r="C927" s="15" t="n"/>
      <c r="D927" s="56" t="n"/>
      <c r="E927" s="56" t="n"/>
      <c r="F927" s="17" t="n"/>
      <c r="G927" s="18">
        <f>IF(D927="Tandem",10,IF(D927="TT",22,IF(D927="Quad",25,"")))</f>
        <v/>
      </c>
      <c r="H927" s="19">
        <f>IFERROR(IF(F927*G927=0,0,F927*G927),0)</f>
        <v/>
      </c>
      <c r="I927" s="20" t="n"/>
      <c r="J927" s="57" t="n"/>
      <c r="K927" s="14" t="n"/>
      <c r="L927" s="22" t="n"/>
      <c r="M927" s="58" t="n"/>
      <c r="N927" s="22" t="n"/>
      <c r="O927" s="24">
        <f>IFERROR(IF(OR(M927="",M927=0),0,H927*VALUE(SUBSTITUTE(M927&amp;"","$",""))),0)</f>
        <v/>
      </c>
    </row>
    <row r="928" hidden="1" outlineLevel="1" ht="16" customHeight="1">
      <c r="A928" s="13" t="n"/>
      <c r="B928" s="25" t="n"/>
      <c r="C928" s="26" t="n"/>
      <c r="D928" s="56" t="n"/>
      <c r="E928" s="56" t="n"/>
      <c r="F928" s="27" t="n"/>
      <c r="G928" s="18">
        <f>IF(D928="Tandem",10,IF(D928="TT",22,IF(D928="Quad",25,"")))</f>
        <v/>
      </c>
      <c r="H928" s="28">
        <f>IFERROR(IF(F928*G928=0,0,F928*G928),0)</f>
        <v/>
      </c>
      <c r="I928" s="29" t="n"/>
      <c r="J928" s="57" t="n"/>
      <c r="K928" s="25" t="n"/>
      <c r="L928" s="30" t="n"/>
      <c r="M928" s="58" t="n"/>
      <c r="N928" s="30" t="n"/>
      <c r="O928" s="24">
        <f>IFERROR(IF(OR(M928="",M928=0),0,H928*VALUE(SUBSTITUTE(M928&amp;"","$",""))),0)</f>
        <v/>
      </c>
    </row>
    <row r="929" hidden="1" outlineLevel="1" ht="16" customHeight="1">
      <c r="A929" s="13" t="n"/>
      <c r="B929" s="14" t="n"/>
      <c r="C929" s="15" t="n"/>
      <c r="D929" s="56" t="n"/>
      <c r="E929" s="56" t="n"/>
      <c r="F929" s="17" t="n"/>
      <c r="G929" s="18">
        <f>IF(D929="Tandem",10,IF(D929="TT",22,IF(D929="Quad",25,"")))</f>
        <v/>
      </c>
      <c r="H929" s="19">
        <f>IFERROR(IF(F929*G929=0,0,F929*G929),0)</f>
        <v/>
      </c>
      <c r="I929" s="20" t="n"/>
      <c r="J929" s="57" t="n"/>
      <c r="K929" s="14" t="n"/>
      <c r="L929" s="22" t="n"/>
      <c r="M929" s="58" t="n"/>
      <c r="N929" s="22" t="n"/>
      <c r="O929" s="24">
        <f>IFERROR(IF(OR(M929="",M929=0),0,H929*VALUE(SUBSTITUTE(M929&amp;"","$",""))),0)</f>
        <v/>
      </c>
    </row>
    <row r="930" hidden="1" outlineLevel="1" ht="16" customHeight="1">
      <c r="A930" s="13" t="n"/>
      <c r="B930" s="25" t="n"/>
      <c r="C930" s="26" t="n"/>
      <c r="D930" s="56" t="n"/>
      <c r="E930" s="56" t="n"/>
      <c r="F930" s="27" t="n"/>
      <c r="G930" s="18">
        <f>IF(D930="Tandem",10,IF(D930="TT",22,IF(D930="Quad",25,"")))</f>
        <v/>
      </c>
      <c r="H930" s="28">
        <f>IFERROR(IF(F930*G930=0,0,F930*G930),0)</f>
        <v/>
      </c>
      <c r="I930" s="29" t="n"/>
      <c r="J930" s="57" t="n"/>
      <c r="K930" s="25" t="n"/>
      <c r="L930" s="30" t="n"/>
      <c r="M930" s="58" t="n"/>
      <c r="N930" s="30" t="n"/>
      <c r="O930" s="24">
        <f>IFERROR(IF(OR(M930="",M930=0),0,H930*VALUE(SUBSTITUTE(M930&amp;"","$",""))),0)</f>
        <v/>
      </c>
    </row>
    <row r="931" hidden="1" outlineLevel="1" ht="16" customHeight="1">
      <c r="A931" s="13" t="n"/>
      <c r="B931" s="14" t="n"/>
      <c r="C931" s="15" t="n"/>
      <c r="D931" s="56" t="n"/>
      <c r="E931" s="56" t="n"/>
      <c r="F931" s="17" t="n"/>
      <c r="G931" s="18">
        <f>IF(D931="Tandem",10,IF(D931="TT",22,IF(D931="Quad",25,"")))</f>
        <v/>
      </c>
      <c r="H931" s="19">
        <f>IFERROR(IF(F931*G931=0,0,F931*G931),0)</f>
        <v/>
      </c>
      <c r="I931" s="20" t="n"/>
      <c r="J931" s="57" t="n"/>
      <c r="K931" s="14" t="n"/>
      <c r="L931" s="22" t="n"/>
      <c r="M931" s="58" t="n"/>
      <c r="N931" s="22" t="n"/>
      <c r="O931" s="24">
        <f>IFERROR(IF(OR(M931="",M931=0),0,H931*VALUE(SUBSTITUTE(M931&amp;"","$",""))),0)</f>
        <v/>
      </c>
    </row>
    <row r="932" hidden="1" outlineLevel="1" ht="16" customHeight="1">
      <c r="A932" s="13" t="n"/>
      <c r="B932" s="25" t="n"/>
      <c r="C932" s="26" t="n"/>
      <c r="D932" s="56" t="n"/>
      <c r="E932" s="56" t="n"/>
      <c r="F932" s="27" t="n"/>
      <c r="G932" s="18">
        <f>IF(D932="Tandem",10,IF(D932="TT",22,IF(D932="Quad",25,"")))</f>
        <v/>
      </c>
      <c r="H932" s="28">
        <f>IFERROR(IF(F932*G932=0,0,F932*G932),0)</f>
        <v/>
      </c>
      <c r="I932" s="29" t="n"/>
      <c r="J932" s="57" t="n"/>
      <c r="K932" s="25" t="n"/>
      <c r="L932" s="30" t="n"/>
      <c r="M932" s="58" t="n"/>
      <c r="N932" s="30" t="n"/>
      <c r="O932" s="24">
        <f>IFERROR(IF(OR(M932="",M932=0),0,H932*VALUE(SUBSTITUTE(M932&amp;"","$",""))),0)</f>
        <v/>
      </c>
    </row>
    <row r="933" hidden="1" outlineLevel="1" ht="16" customHeight="1">
      <c r="A933" s="13" t="n"/>
      <c r="B933" s="14" t="n"/>
      <c r="C933" s="15" t="n"/>
      <c r="D933" s="56" t="n"/>
      <c r="E933" s="56" t="n"/>
      <c r="F933" s="17" t="n"/>
      <c r="G933" s="18">
        <f>IF(D933="Tandem",10,IF(D933="TT",22,IF(D933="Quad",25,"")))</f>
        <v/>
      </c>
      <c r="H933" s="19">
        <f>IFERROR(IF(F933*G933=0,0,F933*G933),0)</f>
        <v/>
      </c>
      <c r="I933" s="20" t="n"/>
      <c r="J933" s="57" t="n"/>
      <c r="K933" s="14" t="n"/>
      <c r="L933" s="22" t="n"/>
      <c r="M933" s="58" t="n"/>
      <c r="N933" s="22" t="n"/>
      <c r="O933" s="24">
        <f>IFERROR(IF(OR(M933="",M933=0),0,H933*VALUE(SUBSTITUTE(M933&amp;"","$",""))),0)</f>
        <v/>
      </c>
    </row>
    <row r="934" hidden="1" outlineLevel="1" ht="16" customHeight="1">
      <c r="A934" s="13" t="n"/>
      <c r="B934" s="25" t="n"/>
      <c r="C934" s="26" t="n"/>
      <c r="D934" s="56" t="n"/>
      <c r="E934" s="56" t="n"/>
      <c r="F934" s="27" t="n"/>
      <c r="G934" s="18">
        <f>IF(D934="Tandem",10,IF(D934="TT",22,IF(D934="Quad",25,"")))</f>
        <v/>
      </c>
      <c r="H934" s="28">
        <f>IFERROR(IF(F934*G934=0,0,F934*G934),0)</f>
        <v/>
      </c>
      <c r="I934" s="29" t="n"/>
      <c r="J934" s="57" t="n"/>
      <c r="K934" s="25" t="n"/>
      <c r="L934" s="30" t="n"/>
      <c r="M934" s="58" t="n"/>
      <c r="N934" s="30" t="n"/>
      <c r="O934" s="24">
        <f>IFERROR(IF(OR(M934="",M934=0),0,H934*VALUE(SUBSTITUTE(M934&amp;"","$",""))),0)</f>
        <v/>
      </c>
    </row>
    <row r="935" hidden="1" outlineLevel="1" ht="16" customHeight="1">
      <c r="A935" s="13" t="n"/>
      <c r="B935" s="14" t="n"/>
      <c r="C935" s="15" t="n"/>
      <c r="D935" s="56" t="n"/>
      <c r="E935" s="56" t="n"/>
      <c r="F935" s="17" t="n"/>
      <c r="G935" s="18">
        <f>IF(D935="Tandem",10,IF(D935="TT",22,IF(D935="Quad",25,"")))</f>
        <v/>
      </c>
      <c r="H935" s="19">
        <f>IFERROR(IF(F935*G935=0,0,F935*G935),0)</f>
        <v/>
      </c>
      <c r="I935" s="20" t="n"/>
      <c r="J935" s="57" t="n"/>
      <c r="K935" s="14" t="n"/>
      <c r="L935" s="22" t="n"/>
      <c r="M935" s="58" t="n"/>
      <c r="N935" s="22" t="n"/>
      <c r="O935" s="24">
        <f>IFERROR(IF(OR(M935="",M935=0),0,H935*VALUE(SUBSTITUTE(M935&amp;"","$",""))),0)</f>
        <v/>
      </c>
    </row>
    <row r="936" hidden="1" outlineLevel="1" ht="16" customHeight="1">
      <c r="A936" s="13" t="n"/>
      <c r="B936" s="25" t="n"/>
      <c r="C936" s="26" t="n"/>
      <c r="D936" s="56" t="n"/>
      <c r="E936" s="56" t="n"/>
      <c r="F936" s="27" t="n"/>
      <c r="G936" s="18">
        <f>IF(D936="Tandem",10,IF(D936="TT",22,IF(D936="Quad",25,"")))</f>
        <v/>
      </c>
      <c r="H936" s="28">
        <f>IFERROR(IF(F936*G936=0,0,F936*G936),0)</f>
        <v/>
      </c>
      <c r="I936" s="29" t="n"/>
      <c r="J936" s="57" t="n"/>
      <c r="K936" s="25" t="n"/>
      <c r="L936" s="30" t="n"/>
      <c r="M936" s="58" t="n"/>
      <c r="N936" s="30" t="n"/>
      <c r="O936" s="24">
        <f>IFERROR(IF(OR(M936="",M936=0),0,H936*VALUE(SUBSTITUTE(M936&amp;"","$",""))),0)</f>
        <v/>
      </c>
    </row>
    <row r="937" hidden="1" outlineLevel="1" ht="16" customHeight="1">
      <c r="A937" s="13" t="n"/>
      <c r="B937" s="14" t="n"/>
      <c r="C937" s="15" t="n"/>
      <c r="D937" s="56" t="n"/>
      <c r="E937" s="56" t="n"/>
      <c r="F937" s="17" t="n"/>
      <c r="G937" s="18">
        <f>IF(D937="Tandem",10,IF(D937="TT",22,IF(D937="Quad",25,"")))</f>
        <v/>
      </c>
      <c r="H937" s="19">
        <f>IFERROR(IF(F937*G937=0,0,F937*G937),0)</f>
        <v/>
      </c>
      <c r="I937" s="20" t="n"/>
      <c r="J937" s="57" t="n"/>
      <c r="K937" s="14" t="n"/>
      <c r="L937" s="22" t="n"/>
      <c r="M937" s="58" t="n"/>
      <c r="N937" s="22" t="n"/>
      <c r="O937" s="24">
        <f>IFERROR(IF(OR(M937="",M937=0),0,H937*VALUE(SUBSTITUTE(M937&amp;"","$",""))),0)</f>
        <v/>
      </c>
    </row>
    <row r="938" hidden="1" outlineLevel="1" ht="16" customHeight="1">
      <c r="A938" s="13" t="n"/>
      <c r="B938" s="25" t="n"/>
      <c r="C938" s="26" t="n"/>
      <c r="D938" s="56" t="n"/>
      <c r="E938" s="56" t="n"/>
      <c r="F938" s="27" t="n"/>
      <c r="G938" s="18">
        <f>IF(D938="Tandem",10,IF(D938="TT",22,IF(D938="Quad",25,"")))</f>
        <v/>
      </c>
      <c r="H938" s="28">
        <f>IFERROR(IF(F938*G938=0,0,F938*G938),0)</f>
        <v/>
      </c>
      <c r="I938" s="29" t="n"/>
      <c r="J938" s="57" t="n"/>
      <c r="K938" s="25" t="n"/>
      <c r="L938" s="30" t="n"/>
      <c r="M938" s="58" t="n"/>
      <c r="N938" s="30" t="n"/>
      <c r="O938" s="24">
        <f>IFERROR(IF(OR(M938="",M938=0),0,H938*VALUE(SUBSTITUTE(M938&amp;"","$",""))),0)</f>
        <v/>
      </c>
    </row>
    <row r="939" hidden="1" outlineLevel="1" ht="16" customHeight="1">
      <c r="A939" s="13" t="n"/>
      <c r="B939" s="14" t="n"/>
      <c r="C939" s="15" t="n"/>
      <c r="D939" s="56" t="n"/>
      <c r="E939" s="56" t="n"/>
      <c r="F939" s="17" t="n"/>
      <c r="G939" s="18">
        <f>IF(D939="Tandem",10,IF(D939="TT",22,IF(D939="Quad",25,"")))</f>
        <v/>
      </c>
      <c r="H939" s="19">
        <f>IFERROR(IF(F939*G939=0,0,F939*G939),0)</f>
        <v/>
      </c>
      <c r="I939" s="20" t="n"/>
      <c r="J939" s="57" t="n"/>
      <c r="K939" s="14" t="n"/>
      <c r="L939" s="22" t="n"/>
      <c r="M939" s="58" t="n"/>
      <c r="N939" s="22" t="n"/>
      <c r="O939" s="24">
        <f>IFERROR(IF(OR(M939="",M939=0),0,H939*VALUE(SUBSTITUTE(M939&amp;"","$",""))),0)</f>
        <v/>
      </c>
    </row>
    <row r="940" hidden="1" outlineLevel="1" ht="16" customHeight="1">
      <c r="A940" s="13" t="n"/>
      <c r="B940" s="25" t="n"/>
      <c r="C940" s="26" t="n"/>
      <c r="D940" s="56" t="n"/>
      <c r="E940" s="56" t="n"/>
      <c r="F940" s="27" t="n"/>
      <c r="G940" s="18">
        <f>IF(D940="Tandem",10,IF(D940="TT",22,IF(D940="Quad",25,"")))</f>
        <v/>
      </c>
      <c r="H940" s="28">
        <f>IFERROR(IF(F940*G940=0,0,F940*G940),0)</f>
        <v/>
      </c>
      <c r="I940" s="29" t="n"/>
      <c r="J940" s="57" t="n"/>
      <c r="K940" s="25" t="n"/>
      <c r="L940" s="30" t="n"/>
      <c r="M940" s="58" t="n"/>
      <c r="N940" s="30" t="n"/>
      <c r="O940" s="24">
        <f>IFERROR(IF(OR(M940="",M940=0),0,H940*VALUE(SUBSTITUTE(M940&amp;"","$",""))),0)</f>
        <v/>
      </c>
    </row>
    <row r="941" hidden="1" outlineLevel="1" ht="16" customHeight="1">
      <c r="A941" s="13" t="n"/>
      <c r="B941" s="14" t="n"/>
      <c r="C941" s="15" t="n"/>
      <c r="D941" s="56" t="n"/>
      <c r="E941" s="56" t="n"/>
      <c r="F941" s="17" t="n"/>
      <c r="G941" s="18">
        <f>IF(D941="Tandem",10,IF(D941="TT",22,IF(D941="Quad",25,"")))</f>
        <v/>
      </c>
      <c r="H941" s="19">
        <f>IFERROR(IF(F941*G941=0,0,F941*G941),0)</f>
        <v/>
      </c>
      <c r="I941" s="20" t="n"/>
      <c r="J941" s="57" t="n"/>
      <c r="K941" s="14" t="n"/>
      <c r="L941" s="22" t="n"/>
      <c r="M941" s="58" t="n"/>
      <c r="N941" s="22" t="n"/>
      <c r="O941" s="24">
        <f>IFERROR(IF(OR(M941="",M941=0),0,H941*VALUE(SUBSTITUTE(M941&amp;"","$",""))),0)</f>
        <v/>
      </c>
    </row>
    <row r="942" hidden="1" outlineLevel="1" ht="16" customHeight="1">
      <c r="A942" s="13" t="n"/>
      <c r="B942" s="25" t="n"/>
      <c r="C942" s="26" t="n"/>
      <c r="D942" s="56" t="n"/>
      <c r="E942" s="56" t="n"/>
      <c r="F942" s="27" t="n"/>
      <c r="G942" s="18">
        <f>IF(D942="Tandem",10,IF(D942="TT",22,IF(D942="Quad",25,"")))</f>
        <v/>
      </c>
      <c r="H942" s="28">
        <f>IFERROR(IF(F942*G942=0,0,F942*G942),0)</f>
        <v/>
      </c>
      <c r="I942" s="29" t="n"/>
      <c r="J942" s="57" t="n"/>
      <c r="K942" s="25" t="n"/>
      <c r="L942" s="30" t="n"/>
      <c r="M942" s="58" t="n"/>
      <c r="N942" s="30" t="n"/>
      <c r="O942" s="24">
        <f>IFERROR(IF(OR(M942="",M942=0),0,H942*VALUE(SUBSTITUTE(M942&amp;"","$",""))),0)</f>
        <v/>
      </c>
    </row>
    <row r="943" hidden="1" outlineLevel="1" ht="16" customHeight="1">
      <c r="A943" s="13" t="n"/>
      <c r="B943" s="14" t="n"/>
      <c r="C943" s="15" t="n"/>
      <c r="D943" s="56" t="n"/>
      <c r="E943" s="56" t="n"/>
      <c r="F943" s="17" t="n"/>
      <c r="G943" s="18">
        <f>IF(D943="Tandem",10,IF(D943="TT",22,IF(D943="Quad",25,"")))</f>
        <v/>
      </c>
      <c r="H943" s="19">
        <f>IFERROR(IF(F943*G943=0,0,F943*G943),0)</f>
        <v/>
      </c>
      <c r="I943" s="20" t="n"/>
      <c r="J943" s="57" t="n"/>
      <c r="K943" s="14" t="n"/>
      <c r="L943" s="22" t="n"/>
      <c r="M943" s="58" t="n"/>
      <c r="N943" s="22" t="n"/>
      <c r="O943" s="24">
        <f>IFERROR(IF(OR(M943="",M943=0),0,H943*VALUE(SUBSTITUTE(M943&amp;"","$",""))),0)</f>
        <v/>
      </c>
    </row>
    <row r="944" hidden="1" outlineLevel="1" ht="16" customHeight="1">
      <c r="A944" s="13" t="n"/>
      <c r="B944" s="25" t="n"/>
      <c r="C944" s="26" t="n"/>
      <c r="D944" s="56" t="n"/>
      <c r="E944" s="56" t="n"/>
      <c r="F944" s="27" t="n"/>
      <c r="G944" s="18">
        <f>IF(D944="Tandem",10,IF(D944="TT",22,IF(D944="Quad",25,"")))</f>
        <v/>
      </c>
      <c r="H944" s="28">
        <f>IFERROR(IF(F944*G944=0,0,F944*G944),0)</f>
        <v/>
      </c>
      <c r="I944" s="29" t="n"/>
      <c r="J944" s="57" t="n"/>
      <c r="K944" s="25" t="n"/>
      <c r="L944" s="30" t="n"/>
      <c r="M944" s="58" t="n"/>
      <c r="N944" s="30" t="n"/>
      <c r="O944" s="24">
        <f>IFERROR(IF(OR(M944="",M944=0),0,H944*VALUE(SUBSTITUTE(M944&amp;"","$",""))),0)</f>
        <v/>
      </c>
    </row>
    <row r="945" hidden="1" outlineLevel="1" ht="16" customHeight="1">
      <c r="A945" s="13" t="n"/>
      <c r="B945" s="14" t="n"/>
      <c r="C945" s="15" t="n"/>
      <c r="D945" s="56" t="n"/>
      <c r="E945" s="56" t="n"/>
      <c r="F945" s="17" t="n"/>
      <c r="G945" s="18">
        <f>IF(D945="Tandem",10,IF(D945="TT",22,IF(D945="Quad",25,"")))</f>
        <v/>
      </c>
      <c r="H945" s="19">
        <f>IFERROR(IF(F945*G945=0,0,F945*G945),0)</f>
        <v/>
      </c>
      <c r="I945" s="20" t="n"/>
      <c r="J945" s="57" t="n"/>
      <c r="K945" s="14" t="n"/>
      <c r="L945" s="22" t="n"/>
      <c r="M945" s="58" t="n"/>
      <c r="N945" s="22" t="n"/>
      <c r="O945" s="24">
        <f>IFERROR(IF(OR(M945="",M945=0),0,H945*VALUE(SUBSTITUTE(M945&amp;"","$",""))),0)</f>
        <v/>
      </c>
    </row>
    <row r="946" hidden="1" outlineLevel="1" ht="16" customHeight="1">
      <c r="A946" s="13" t="n"/>
      <c r="B946" s="25" t="n"/>
      <c r="C946" s="26" t="n"/>
      <c r="D946" s="56" t="n"/>
      <c r="E946" s="56" t="n"/>
      <c r="F946" s="27" t="n"/>
      <c r="G946" s="18">
        <f>IF(D946="Tandem",10,IF(D946="TT",22,IF(D946="Quad",25,"")))</f>
        <v/>
      </c>
      <c r="H946" s="28">
        <f>IFERROR(IF(F946*G946=0,0,F946*G946),0)</f>
        <v/>
      </c>
      <c r="I946" s="29" t="n"/>
      <c r="J946" s="57" t="n"/>
      <c r="K946" s="25" t="n"/>
      <c r="L946" s="30" t="n"/>
      <c r="M946" s="58" t="n"/>
      <c r="N946" s="30" t="n"/>
      <c r="O946" s="24">
        <f>IFERROR(IF(OR(M946="",M946=0),0,H946*VALUE(SUBSTITUTE(M946&amp;"","$",""))),0)</f>
        <v/>
      </c>
    </row>
    <row r="947" hidden="1" outlineLevel="1" ht="16" customHeight="1">
      <c r="A947" s="13" t="n"/>
      <c r="B947" s="14" t="n"/>
      <c r="C947" s="15" t="n"/>
      <c r="D947" s="56" t="n"/>
      <c r="E947" s="56" t="n"/>
      <c r="F947" s="17" t="n"/>
      <c r="G947" s="18">
        <f>IF(D947="Tandem",10,IF(D947="TT",22,IF(D947="Quad",25,"")))</f>
        <v/>
      </c>
      <c r="H947" s="19">
        <f>IFERROR(IF(F947*G947=0,0,F947*G947),0)</f>
        <v/>
      </c>
      <c r="I947" s="20" t="n"/>
      <c r="J947" s="57" t="n"/>
      <c r="K947" s="14" t="n"/>
      <c r="L947" s="22" t="n"/>
      <c r="M947" s="58" t="n"/>
      <c r="N947" s="22" t="n"/>
      <c r="O947" s="24">
        <f>IFERROR(IF(OR(M947="",M947=0),0,H947*VALUE(SUBSTITUTE(M947&amp;"","$",""))),0)</f>
        <v/>
      </c>
    </row>
    <row r="948" hidden="1" outlineLevel="1" ht="16" customHeight="1">
      <c r="A948" s="13" t="n"/>
      <c r="B948" s="25" t="n"/>
      <c r="C948" s="26" t="n"/>
      <c r="D948" s="56" t="n"/>
      <c r="E948" s="56" t="n"/>
      <c r="F948" s="27" t="n"/>
      <c r="G948" s="18">
        <f>IF(D948="Tandem",10,IF(D948="TT",22,IF(D948="Quad",25,"")))</f>
        <v/>
      </c>
      <c r="H948" s="28">
        <f>IFERROR(IF(F948*G948=0,0,F948*G948),0)</f>
        <v/>
      </c>
      <c r="I948" s="29" t="n"/>
      <c r="J948" s="57" t="n"/>
      <c r="K948" s="25" t="n"/>
      <c r="L948" s="30" t="n"/>
      <c r="M948" s="58" t="n"/>
      <c r="N948" s="30" t="n"/>
      <c r="O948" s="24">
        <f>IFERROR(IF(OR(M948="",M948=0),0,H948*VALUE(SUBSTITUTE(M948&amp;"","$",""))),0)</f>
        <v/>
      </c>
    </row>
    <row r="949" hidden="1" outlineLevel="1" ht="20" customHeight="1">
      <c r="A949" s="59" t="inlineStr">
        <is>
          <t>Daily Notes:</t>
        </is>
      </c>
      <c r="B949" s="54" t="n"/>
      <c r="C949" s="54" t="n"/>
      <c r="D949" s="54" t="n"/>
      <c r="E949" s="54" t="n"/>
      <c r="F949" s="54" t="n"/>
      <c r="G949" s="54" t="n"/>
      <c r="H949" s="54" t="n"/>
      <c r="I949" s="54" t="n"/>
      <c r="J949" s="54" t="n"/>
      <c r="K949" s="54" t="n"/>
      <c r="L949" s="54" t="n"/>
      <c r="M949" s="54" t="n"/>
      <c r="N949" s="50" t="n"/>
      <c r="O949" s="60" t="n"/>
    </row>
    <row r="950" hidden="1" outlineLevel="1" ht="18" customHeight="1">
      <c r="A950" s="32" t="inlineStr">
        <is>
          <t>DAILY TOTAL</t>
        </is>
      </c>
      <c r="B950" s="54" t="n"/>
      <c r="C950" s="54" t="n"/>
      <c r="D950" s="54" t="n"/>
      <c r="E950" s="54" t="n"/>
      <c r="F950" s="54" t="n"/>
      <c r="G950" s="50" t="n"/>
      <c r="H950" s="34">
        <f>SUM(H919:H948)</f>
        <v/>
      </c>
      <c r="I950" s="35">
        <f>SUM(I919:I948)</f>
        <v/>
      </c>
      <c r="J950" s="61" t="n"/>
      <c r="K950" s="61" t="n"/>
      <c r="L950" s="61" t="n"/>
      <c r="M950" s="36">
        <f>SUM(O919:O948)</f>
        <v/>
      </c>
      <c r="N950" s="61" t="n"/>
      <c r="O950" s="62" t="n"/>
    </row>
    <row r="951" hidden="1" outlineLevel="1" ht="18" customHeight="1">
      <c r="A951" s="2" t="inlineStr">
        <is>
          <t>▶ RUNNING TOTAL</t>
        </is>
      </c>
      <c r="B951" s="54" t="n"/>
      <c r="C951" s="54" t="n"/>
      <c r="D951" s="54" t="n"/>
      <c r="E951" s="54" t="n"/>
      <c r="F951" s="54" t="n"/>
      <c r="G951" s="50" t="n"/>
      <c r="H951" s="37">
        <f>H50+H86+H122+H158+H194+H230+H266+H302+H338+H374+H410+H446+H482+H518+H554+H590+H626+H662+H698+H734+H770+H806+H842+H878+H914+H950</f>
        <v/>
      </c>
      <c r="I951" s="63" t="n"/>
      <c r="J951" s="63" t="n"/>
      <c r="K951" s="63" t="n"/>
      <c r="L951" s="63" t="n"/>
      <c r="M951" s="38">
        <f>M50+M86+M122+M158+M194+M230+M266+M302+M338+M374+M410+M446+M482+M518+M554+M590+M626+M662+M698+M734+M770+M806+M842+M878+M914+M950</f>
        <v/>
      </c>
      <c r="N951" s="63" t="n"/>
      <c r="O951" s="64" t="n"/>
    </row>
    <row r="952" hidden="1" outlineLevel="1" ht="8" customHeight="1"/>
    <row r="953" ht="22" customHeight="1">
      <c r="A953" s="55" t="inlineStr">
        <is>
          <t>DAY 27</t>
        </is>
      </c>
      <c r="B953" s="54" t="n"/>
      <c r="C953" s="54" t="n"/>
      <c r="D953" s="54" t="n"/>
      <c r="E953" s="54" t="n"/>
      <c r="F953" s="54" t="n"/>
      <c r="G953" s="54" t="n"/>
      <c r="H953" s="54" t="n"/>
      <c r="I953" s="54" t="n"/>
      <c r="J953" s="54" t="n"/>
      <c r="K953" s="54" t="n"/>
      <c r="L953" s="54" t="n"/>
      <c r="M953" s="54" t="n"/>
      <c r="N953" s="50" t="n"/>
    </row>
    <row r="954" hidden="1" outlineLevel="1" ht="28" customHeight="1">
      <c r="A954" s="12" t="inlineStr">
        <is>
          <t>Date</t>
        </is>
      </c>
      <c r="B954" s="12" t="inlineStr">
        <is>
          <t>Cartage Company</t>
        </is>
      </c>
      <c r="C954" s="12" t="inlineStr">
        <is>
          <t>Truck Rego</t>
        </is>
      </c>
      <c r="D954" s="12" t="inlineStr">
        <is>
          <t>Truck Type</t>
        </is>
      </c>
      <c r="E954" s="12" t="inlineStr">
        <is>
          <t>Exp / Imp</t>
        </is>
      </c>
      <c r="F954" s="12" t="inlineStr">
        <is>
          <t>Loads</t>
        </is>
      </c>
      <c r="G954" s="12" t="inlineStr">
        <is>
          <t>m³ / Load</t>
        </is>
      </c>
      <c r="H954" s="12" t="inlineStr">
        <is>
          <t>Total m³</t>
        </is>
      </c>
      <c r="I954" s="12" t="inlineStr">
        <is>
          <t>Hours</t>
        </is>
      </c>
      <c r="J954" s="12" t="inlineStr">
        <is>
          <t>Material</t>
        </is>
      </c>
      <c r="K954" s="12" t="inlineStr">
        <is>
          <t>Tip Site</t>
        </is>
      </c>
      <c r="L954" s="12" t="inlineStr">
        <is>
          <t>Docket #</t>
        </is>
      </c>
      <c r="M954" s="12" t="inlineStr">
        <is>
          <t>Rate Paid ($/m³)</t>
        </is>
      </c>
      <c r="N954" s="12" t="inlineStr">
        <is>
          <t>Invoice #</t>
        </is>
      </c>
    </row>
    <row r="955" hidden="1" outlineLevel="1" ht="16" customHeight="1">
      <c r="A955" s="13" t="n"/>
      <c r="B955" s="14" t="n"/>
      <c r="C955" s="15" t="n"/>
      <c r="D955" s="56" t="n"/>
      <c r="E955" s="56" t="n"/>
      <c r="F955" s="17" t="n"/>
      <c r="G955" s="18">
        <f>IF(D955="Tandem",10,IF(D955="TT",22,IF(D955="Quad",25,"")))</f>
        <v/>
      </c>
      <c r="H955" s="19">
        <f>IFERROR(IF(F955*G955=0,0,F955*G955),0)</f>
        <v/>
      </c>
      <c r="I955" s="20" t="n"/>
      <c r="J955" s="57" t="n"/>
      <c r="K955" s="14" t="n"/>
      <c r="L955" s="22" t="n"/>
      <c r="M955" s="58" t="n"/>
      <c r="N955" s="22" t="n"/>
      <c r="O955" s="24">
        <f>IFERROR(IF(OR(M955="",M955=0),0,H955*VALUE(SUBSTITUTE(M955&amp;"","$",""))),0)</f>
        <v/>
      </c>
    </row>
    <row r="956" hidden="1" outlineLevel="1" ht="16" customHeight="1">
      <c r="A956" s="13" t="n"/>
      <c r="B956" s="25" t="n"/>
      <c r="C956" s="26" t="n"/>
      <c r="D956" s="56" t="n"/>
      <c r="E956" s="56" t="n"/>
      <c r="F956" s="27" t="n"/>
      <c r="G956" s="18">
        <f>IF(D956="Tandem",10,IF(D956="TT",22,IF(D956="Quad",25,"")))</f>
        <v/>
      </c>
      <c r="H956" s="28">
        <f>IFERROR(IF(F956*G956=0,0,F956*G956),0)</f>
        <v/>
      </c>
      <c r="I956" s="29" t="n"/>
      <c r="J956" s="57" t="n"/>
      <c r="K956" s="25" t="n"/>
      <c r="L956" s="30" t="n"/>
      <c r="M956" s="58" t="n"/>
      <c r="N956" s="30" t="n"/>
      <c r="O956" s="24">
        <f>IFERROR(IF(OR(M956="",M956=0),0,H956*VALUE(SUBSTITUTE(M956&amp;"","$",""))),0)</f>
        <v/>
      </c>
    </row>
    <row r="957" hidden="1" outlineLevel="1" ht="16" customHeight="1">
      <c r="A957" s="13" t="n"/>
      <c r="B957" s="14" t="n"/>
      <c r="C957" s="15" t="n"/>
      <c r="D957" s="56" t="n"/>
      <c r="E957" s="56" t="n"/>
      <c r="F957" s="17" t="n"/>
      <c r="G957" s="18">
        <f>IF(D957="Tandem",10,IF(D957="TT",22,IF(D957="Quad",25,"")))</f>
        <v/>
      </c>
      <c r="H957" s="19">
        <f>IFERROR(IF(F957*G957=0,0,F957*G957),0)</f>
        <v/>
      </c>
      <c r="I957" s="20" t="n"/>
      <c r="J957" s="57" t="n"/>
      <c r="K957" s="14" t="n"/>
      <c r="L957" s="22" t="n"/>
      <c r="M957" s="58" t="n"/>
      <c r="N957" s="22" t="n"/>
      <c r="O957" s="24">
        <f>IFERROR(IF(OR(M957="",M957=0),0,H957*VALUE(SUBSTITUTE(M957&amp;"","$",""))),0)</f>
        <v/>
      </c>
    </row>
    <row r="958" hidden="1" outlineLevel="1" ht="16" customHeight="1">
      <c r="A958" s="13" t="n"/>
      <c r="B958" s="25" t="n"/>
      <c r="C958" s="26" t="n"/>
      <c r="D958" s="56" t="n"/>
      <c r="E958" s="56" t="n"/>
      <c r="F958" s="27" t="n"/>
      <c r="G958" s="18">
        <f>IF(D958="Tandem",10,IF(D958="TT",22,IF(D958="Quad",25,"")))</f>
        <v/>
      </c>
      <c r="H958" s="28">
        <f>IFERROR(IF(F958*G958=0,0,F958*G958),0)</f>
        <v/>
      </c>
      <c r="I958" s="29" t="n"/>
      <c r="J958" s="57" t="n"/>
      <c r="K958" s="25" t="n"/>
      <c r="L958" s="30" t="n"/>
      <c r="M958" s="58" t="n"/>
      <c r="N958" s="30" t="n"/>
      <c r="O958" s="24">
        <f>IFERROR(IF(OR(M958="",M958=0),0,H958*VALUE(SUBSTITUTE(M958&amp;"","$",""))),0)</f>
        <v/>
      </c>
    </row>
    <row r="959" hidden="1" outlineLevel="1" ht="16" customHeight="1">
      <c r="A959" s="13" t="n"/>
      <c r="B959" s="14" t="n"/>
      <c r="C959" s="15" t="n"/>
      <c r="D959" s="56" t="n"/>
      <c r="E959" s="56" t="n"/>
      <c r="F959" s="17" t="n"/>
      <c r="G959" s="18">
        <f>IF(D959="Tandem",10,IF(D959="TT",22,IF(D959="Quad",25,"")))</f>
        <v/>
      </c>
      <c r="H959" s="19">
        <f>IFERROR(IF(F959*G959=0,0,F959*G959),0)</f>
        <v/>
      </c>
      <c r="I959" s="20" t="n"/>
      <c r="J959" s="57" t="n"/>
      <c r="K959" s="14" t="n"/>
      <c r="L959" s="22" t="n"/>
      <c r="M959" s="58" t="n"/>
      <c r="N959" s="22" t="n"/>
      <c r="O959" s="24">
        <f>IFERROR(IF(OR(M959="",M959=0),0,H959*VALUE(SUBSTITUTE(M959&amp;"","$",""))),0)</f>
        <v/>
      </c>
    </row>
    <row r="960" hidden="1" outlineLevel="1" ht="16" customHeight="1">
      <c r="A960" s="13" t="n"/>
      <c r="B960" s="25" t="n"/>
      <c r="C960" s="26" t="n"/>
      <c r="D960" s="56" t="n"/>
      <c r="E960" s="56" t="n"/>
      <c r="F960" s="27" t="n"/>
      <c r="G960" s="18">
        <f>IF(D960="Tandem",10,IF(D960="TT",22,IF(D960="Quad",25,"")))</f>
        <v/>
      </c>
      <c r="H960" s="28">
        <f>IFERROR(IF(F960*G960=0,0,F960*G960),0)</f>
        <v/>
      </c>
      <c r="I960" s="29" t="n"/>
      <c r="J960" s="57" t="n"/>
      <c r="K960" s="25" t="n"/>
      <c r="L960" s="30" t="n"/>
      <c r="M960" s="58" t="n"/>
      <c r="N960" s="30" t="n"/>
      <c r="O960" s="24">
        <f>IFERROR(IF(OR(M960="",M960=0),0,H960*VALUE(SUBSTITUTE(M960&amp;"","$",""))),0)</f>
        <v/>
      </c>
    </row>
    <row r="961" hidden="1" outlineLevel="1" ht="16" customHeight="1">
      <c r="A961" s="13" t="n"/>
      <c r="B961" s="14" t="n"/>
      <c r="C961" s="15" t="n"/>
      <c r="D961" s="56" t="n"/>
      <c r="E961" s="56" t="n"/>
      <c r="F961" s="17" t="n"/>
      <c r="G961" s="18">
        <f>IF(D961="Tandem",10,IF(D961="TT",22,IF(D961="Quad",25,"")))</f>
        <v/>
      </c>
      <c r="H961" s="19">
        <f>IFERROR(IF(F961*G961=0,0,F961*G961),0)</f>
        <v/>
      </c>
      <c r="I961" s="20" t="n"/>
      <c r="J961" s="57" t="n"/>
      <c r="K961" s="14" t="n"/>
      <c r="L961" s="22" t="n"/>
      <c r="M961" s="58" t="n"/>
      <c r="N961" s="22" t="n"/>
      <c r="O961" s="24">
        <f>IFERROR(IF(OR(M961="",M961=0),0,H961*VALUE(SUBSTITUTE(M961&amp;"","$",""))),0)</f>
        <v/>
      </c>
    </row>
    <row r="962" hidden="1" outlineLevel="1" ht="16" customHeight="1">
      <c r="A962" s="13" t="n"/>
      <c r="B962" s="25" t="n"/>
      <c r="C962" s="26" t="n"/>
      <c r="D962" s="56" t="n"/>
      <c r="E962" s="56" t="n"/>
      <c r="F962" s="27" t="n"/>
      <c r="G962" s="18">
        <f>IF(D962="Tandem",10,IF(D962="TT",22,IF(D962="Quad",25,"")))</f>
        <v/>
      </c>
      <c r="H962" s="28">
        <f>IFERROR(IF(F962*G962=0,0,F962*G962),0)</f>
        <v/>
      </c>
      <c r="I962" s="29" t="n"/>
      <c r="J962" s="57" t="n"/>
      <c r="K962" s="25" t="n"/>
      <c r="L962" s="30" t="n"/>
      <c r="M962" s="58" t="n"/>
      <c r="N962" s="30" t="n"/>
      <c r="O962" s="24">
        <f>IFERROR(IF(OR(M962="",M962=0),0,H962*VALUE(SUBSTITUTE(M962&amp;"","$",""))),0)</f>
        <v/>
      </c>
    </row>
    <row r="963" hidden="1" outlineLevel="1" ht="16" customHeight="1">
      <c r="A963" s="13" t="n"/>
      <c r="B963" s="14" t="n"/>
      <c r="C963" s="15" t="n"/>
      <c r="D963" s="56" t="n"/>
      <c r="E963" s="56" t="n"/>
      <c r="F963" s="17" t="n"/>
      <c r="G963" s="18">
        <f>IF(D963="Tandem",10,IF(D963="TT",22,IF(D963="Quad",25,"")))</f>
        <v/>
      </c>
      <c r="H963" s="19">
        <f>IFERROR(IF(F963*G963=0,0,F963*G963),0)</f>
        <v/>
      </c>
      <c r="I963" s="20" t="n"/>
      <c r="J963" s="57" t="n"/>
      <c r="K963" s="14" t="n"/>
      <c r="L963" s="22" t="n"/>
      <c r="M963" s="58" t="n"/>
      <c r="N963" s="22" t="n"/>
      <c r="O963" s="24">
        <f>IFERROR(IF(OR(M963="",M963=0),0,H963*VALUE(SUBSTITUTE(M963&amp;"","$",""))),0)</f>
        <v/>
      </c>
    </row>
    <row r="964" hidden="1" outlineLevel="1" ht="16" customHeight="1">
      <c r="A964" s="13" t="n"/>
      <c r="B964" s="25" t="n"/>
      <c r="C964" s="26" t="n"/>
      <c r="D964" s="56" t="n"/>
      <c r="E964" s="56" t="n"/>
      <c r="F964" s="27" t="n"/>
      <c r="G964" s="18">
        <f>IF(D964="Tandem",10,IF(D964="TT",22,IF(D964="Quad",25,"")))</f>
        <v/>
      </c>
      <c r="H964" s="28">
        <f>IFERROR(IF(F964*G964=0,0,F964*G964),0)</f>
        <v/>
      </c>
      <c r="I964" s="29" t="n"/>
      <c r="J964" s="57" t="n"/>
      <c r="K964" s="25" t="n"/>
      <c r="L964" s="30" t="n"/>
      <c r="M964" s="58" t="n"/>
      <c r="N964" s="30" t="n"/>
      <c r="O964" s="24">
        <f>IFERROR(IF(OR(M964="",M964=0),0,H964*VALUE(SUBSTITUTE(M964&amp;"","$",""))),0)</f>
        <v/>
      </c>
    </row>
    <row r="965" hidden="1" outlineLevel="1" ht="16" customHeight="1">
      <c r="A965" s="13" t="n"/>
      <c r="B965" s="14" t="n"/>
      <c r="C965" s="15" t="n"/>
      <c r="D965" s="56" t="n"/>
      <c r="E965" s="56" t="n"/>
      <c r="F965" s="17" t="n"/>
      <c r="G965" s="18">
        <f>IF(D965="Tandem",10,IF(D965="TT",22,IF(D965="Quad",25,"")))</f>
        <v/>
      </c>
      <c r="H965" s="19">
        <f>IFERROR(IF(F965*G965=0,0,F965*G965),0)</f>
        <v/>
      </c>
      <c r="I965" s="20" t="n"/>
      <c r="J965" s="57" t="n"/>
      <c r="K965" s="14" t="n"/>
      <c r="L965" s="22" t="n"/>
      <c r="M965" s="58" t="n"/>
      <c r="N965" s="22" t="n"/>
      <c r="O965" s="24">
        <f>IFERROR(IF(OR(M965="",M965=0),0,H965*VALUE(SUBSTITUTE(M965&amp;"","$",""))),0)</f>
        <v/>
      </c>
    </row>
    <row r="966" hidden="1" outlineLevel="1" ht="16" customHeight="1">
      <c r="A966" s="13" t="n"/>
      <c r="B966" s="25" t="n"/>
      <c r="C966" s="26" t="n"/>
      <c r="D966" s="56" t="n"/>
      <c r="E966" s="56" t="n"/>
      <c r="F966" s="27" t="n"/>
      <c r="G966" s="18">
        <f>IF(D966="Tandem",10,IF(D966="TT",22,IF(D966="Quad",25,"")))</f>
        <v/>
      </c>
      <c r="H966" s="28">
        <f>IFERROR(IF(F966*G966=0,0,F966*G966),0)</f>
        <v/>
      </c>
      <c r="I966" s="29" t="n"/>
      <c r="J966" s="57" t="n"/>
      <c r="K966" s="25" t="n"/>
      <c r="L966" s="30" t="n"/>
      <c r="M966" s="58" t="n"/>
      <c r="N966" s="30" t="n"/>
      <c r="O966" s="24">
        <f>IFERROR(IF(OR(M966="",M966=0),0,H966*VALUE(SUBSTITUTE(M966&amp;"","$",""))),0)</f>
        <v/>
      </c>
    </row>
    <row r="967" hidden="1" outlineLevel="1" ht="16" customHeight="1">
      <c r="A967" s="13" t="n"/>
      <c r="B967" s="14" t="n"/>
      <c r="C967" s="15" t="n"/>
      <c r="D967" s="56" t="n"/>
      <c r="E967" s="56" t="n"/>
      <c r="F967" s="17" t="n"/>
      <c r="G967" s="18">
        <f>IF(D967="Tandem",10,IF(D967="TT",22,IF(D967="Quad",25,"")))</f>
        <v/>
      </c>
      <c r="H967" s="19">
        <f>IFERROR(IF(F967*G967=0,0,F967*G967),0)</f>
        <v/>
      </c>
      <c r="I967" s="20" t="n"/>
      <c r="J967" s="57" t="n"/>
      <c r="K967" s="14" t="n"/>
      <c r="L967" s="22" t="n"/>
      <c r="M967" s="58" t="n"/>
      <c r="N967" s="22" t="n"/>
      <c r="O967" s="24">
        <f>IFERROR(IF(OR(M967="",M967=0),0,H967*VALUE(SUBSTITUTE(M967&amp;"","$",""))),0)</f>
        <v/>
      </c>
    </row>
    <row r="968" hidden="1" outlineLevel="1" ht="16" customHeight="1">
      <c r="A968" s="13" t="n"/>
      <c r="B968" s="25" t="n"/>
      <c r="C968" s="26" t="n"/>
      <c r="D968" s="56" t="n"/>
      <c r="E968" s="56" t="n"/>
      <c r="F968" s="27" t="n"/>
      <c r="G968" s="18">
        <f>IF(D968="Tandem",10,IF(D968="TT",22,IF(D968="Quad",25,"")))</f>
        <v/>
      </c>
      <c r="H968" s="28">
        <f>IFERROR(IF(F968*G968=0,0,F968*G968),0)</f>
        <v/>
      </c>
      <c r="I968" s="29" t="n"/>
      <c r="J968" s="57" t="n"/>
      <c r="K968" s="25" t="n"/>
      <c r="L968" s="30" t="n"/>
      <c r="M968" s="58" t="n"/>
      <c r="N968" s="30" t="n"/>
      <c r="O968" s="24">
        <f>IFERROR(IF(OR(M968="",M968=0),0,H968*VALUE(SUBSTITUTE(M968&amp;"","$",""))),0)</f>
        <v/>
      </c>
    </row>
    <row r="969" hidden="1" outlineLevel="1" ht="16" customHeight="1">
      <c r="A969" s="13" t="n"/>
      <c r="B969" s="14" t="n"/>
      <c r="C969" s="15" t="n"/>
      <c r="D969" s="56" t="n"/>
      <c r="E969" s="56" t="n"/>
      <c r="F969" s="17" t="n"/>
      <c r="G969" s="18">
        <f>IF(D969="Tandem",10,IF(D969="TT",22,IF(D969="Quad",25,"")))</f>
        <v/>
      </c>
      <c r="H969" s="19">
        <f>IFERROR(IF(F969*G969=0,0,F969*G969),0)</f>
        <v/>
      </c>
      <c r="I969" s="20" t="n"/>
      <c r="J969" s="57" t="n"/>
      <c r="K969" s="14" t="n"/>
      <c r="L969" s="22" t="n"/>
      <c r="M969" s="58" t="n"/>
      <c r="N969" s="22" t="n"/>
      <c r="O969" s="24">
        <f>IFERROR(IF(OR(M969="",M969=0),0,H969*VALUE(SUBSTITUTE(M969&amp;"","$",""))),0)</f>
        <v/>
      </c>
    </row>
    <row r="970" hidden="1" outlineLevel="1" ht="16" customHeight="1">
      <c r="A970" s="13" t="n"/>
      <c r="B970" s="25" t="n"/>
      <c r="C970" s="26" t="n"/>
      <c r="D970" s="56" t="n"/>
      <c r="E970" s="56" t="n"/>
      <c r="F970" s="27" t="n"/>
      <c r="G970" s="18">
        <f>IF(D970="Tandem",10,IF(D970="TT",22,IF(D970="Quad",25,"")))</f>
        <v/>
      </c>
      <c r="H970" s="28">
        <f>IFERROR(IF(F970*G970=0,0,F970*G970),0)</f>
        <v/>
      </c>
      <c r="I970" s="29" t="n"/>
      <c r="J970" s="57" t="n"/>
      <c r="K970" s="25" t="n"/>
      <c r="L970" s="30" t="n"/>
      <c r="M970" s="58" t="n"/>
      <c r="N970" s="30" t="n"/>
      <c r="O970" s="24">
        <f>IFERROR(IF(OR(M970="",M970=0),0,H970*VALUE(SUBSTITUTE(M970&amp;"","$",""))),0)</f>
        <v/>
      </c>
    </row>
    <row r="971" hidden="1" outlineLevel="1" ht="16" customHeight="1">
      <c r="A971" s="13" t="n"/>
      <c r="B971" s="14" t="n"/>
      <c r="C971" s="15" t="n"/>
      <c r="D971" s="56" t="n"/>
      <c r="E971" s="56" t="n"/>
      <c r="F971" s="17" t="n"/>
      <c r="G971" s="18">
        <f>IF(D971="Tandem",10,IF(D971="TT",22,IF(D971="Quad",25,"")))</f>
        <v/>
      </c>
      <c r="H971" s="19">
        <f>IFERROR(IF(F971*G971=0,0,F971*G971),0)</f>
        <v/>
      </c>
      <c r="I971" s="20" t="n"/>
      <c r="J971" s="57" t="n"/>
      <c r="K971" s="14" t="n"/>
      <c r="L971" s="22" t="n"/>
      <c r="M971" s="58" t="n"/>
      <c r="N971" s="22" t="n"/>
      <c r="O971" s="24">
        <f>IFERROR(IF(OR(M971="",M971=0),0,H971*VALUE(SUBSTITUTE(M971&amp;"","$",""))),0)</f>
        <v/>
      </c>
    </row>
    <row r="972" hidden="1" outlineLevel="1" ht="16" customHeight="1">
      <c r="A972" s="13" t="n"/>
      <c r="B972" s="25" t="n"/>
      <c r="C972" s="26" t="n"/>
      <c r="D972" s="56" t="n"/>
      <c r="E972" s="56" t="n"/>
      <c r="F972" s="27" t="n"/>
      <c r="G972" s="18">
        <f>IF(D972="Tandem",10,IF(D972="TT",22,IF(D972="Quad",25,"")))</f>
        <v/>
      </c>
      <c r="H972" s="28">
        <f>IFERROR(IF(F972*G972=0,0,F972*G972),0)</f>
        <v/>
      </c>
      <c r="I972" s="29" t="n"/>
      <c r="J972" s="57" t="n"/>
      <c r="K972" s="25" t="n"/>
      <c r="L972" s="30" t="n"/>
      <c r="M972" s="58" t="n"/>
      <c r="N972" s="30" t="n"/>
      <c r="O972" s="24">
        <f>IFERROR(IF(OR(M972="",M972=0),0,H972*VALUE(SUBSTITUTE(M972&amp;"","$",""))),0)</f>
        <v/>
      </c>
    </row>
    <row r="973" hidden="1" outlineLevel="1" ht="16" customHeight="1">
      <c r="A973" s="13" t="n"/>
      <c r="B973" s="14" t="n"/>
      <c r="C973" s="15" t="n"/>
      <c r="D973" s="56" t="n"/>
      <c r="E973" s="56" t="n"/>
      <c r="F973" s="17" t="n"/>
      <c r="G973" s="18">
        <f>IF(D973="Tandem",10,IF(D973="TT",22,IF(D973="Quad",25,"")))</f>
        <v/>
      </c>
      <c r="H973" s="19">
        <f>IFERROR(IF(F973*G973=0,0,F973*G973),0)</f>
        <v/>
      </c>
      <c r="I973" s="20" t="n"/>
      <c r="J973" s="57" t="n"/>
      <c r="K973" s="14" t="n"/>
      <c r="L973" s="22" t="n"/>
      <c r="M973" s="58" t="n"/>
      <c r="N973" s="22" t="n"/>
      <c r="O973" s="24">
        <f>IFERROR(IF(OR(M973="",M973=0),0,H973*VALUE(SUBSTITUTE(M973&amp;"","$",""))),0)</f>
        <v/>
      </c>
    </row>
    <row r="974" hidden="1" outlineLevel="1" ht="16" customHeight="1">
      <c r="A974" s="13" t="n"/>
      <c r="B974" s="25" t="n"/>
      <c r="C974" s="26" t="n"/>
      <c r="D974" s="56" t="n"/>
      <c r="E974" s="56" t="n"/>
      <c r="F974" s="27" t="n"/>
      <c r="G974" s="18">
        <f>IF(D974="Tandem",10,IF(D974="TT",22,IF(D974="Quad",25,"")))</f>
        <v/>
      </c>
      <c r="H974" s="28">
        <f>IFERROR(IF(F974*G974=0,0,F974*G974),0)</f>
        <v/>
      </c>
      <c r="I974" s="29" t="n"/>
      <c r="J974" s="57" t="n"/>
      <c r="K974" s="25" t="n"/>
      <c r="L974" s="30" t="n"/>
      <c r="M974" s="58" t="n"/>
      <c r="N974" s="30" t="n"/>
      <c r="O974" s="24">
        <f>IFERROR(IF(OR(M974="",M974=0),0,H974*VALUE(SUBSTITUTE(M974&amp;"","$",""))),0)</f>
        <v/>
      </c>
    </row>
    <row r="975" hidden="1" outlineLevel="1" ht="16" customHeight="1">
      <c r="A975" s="13" t="n"/>
      <c r="B975" s="14" t="n"/>
      <c r="C975" s="15" t="n"/>
      <c r="D975" s="56" t="n"/>
      <c r="E975" s="56" t="n"/>
      <c r="F975" s="17" t="n"/>
      <c r="G975" s="18">
        <f>IF(D975="Tandem",10,IF(D975="TT",22,IF(D975="Quad",25,"")))</f>
        <v/>
      </c>
      <c r="H975" s="19">
        <f>IFERROR(IF(F975*G975=0,0,F975*G975),0)</f>
        <v/>
      </c>
      <c r="I975" s="20" t="n"/>
      <c r="J975" s="57" t="n"/>
      <c r="K975" s="14" t="n"/>
      <c r="L975" s="22" t="n"/>
      <c r="M975" s="58" t="n"/>
      <c r="N975" s="22" t="n"/>
      <c r="O975" s="24">
        <f>IFERROR(IF(OR(M975="",M975=0),0,H975*VALUE(SUBSTITUTE(M975&amp;"","$",""))),0)</f>
        <v/>
      </c>
    </row>
    <row r="976" hidden="1" outlineLevel="1" ht="16" customHeight="1">
      <c r="A976" s="13" t="n"/>
      <c r="B976" s="25" t="n"/>
      <c r="C976" s="26" t="n"/>
      <c r="D976" s="56" t="n"/>
      <c r="E976" s="56" t="n"/>
      <c r="F976" s="27" t="n"/>
      <c r="G976" s="18">
        <f>IF(D976="Tandem",10,IF(D976="TT",22,IF(D976="Quad",25,"")))</f>
        <v/>
      </c>
      <c r="H976" s="28">
        <f>IFERROR(IF(F976*G976=0,0,F976*G976),0)</f>
        <v/>
      </c>
      <c r="I976" s="29" t="n"/>
      <c r="J976" s="57" t="n"/>
      <c r="K976" s="25" t="n"/>
      <c r="L976" s="30" t="n"/>
      <c r="M976" s="58" t="n"/>
      <c r="N976" s="30" t="n"/>
      <c r="O976" s="24">
        <f>IFERROR(IF(OR(M976="",M976=0),0,H976*VALUE(SUBSTITUTE(M976&amp;"","$",""))),0)</f>
        <v/>
      </c>
    </row>
    <row r="977" hidden="1" outlineLevel="1" ht="16" customHeight="1">
      <c r="A977" s="13" t="n"/>
      <c r="B977" s="14" t="n"/>
      <c r="C977" s="15" t="n"/>
      <c r="D977" s="56" t="n"/>
      <c r="E977" s="56" t="n"/>
      <c r="F977" s="17" t="n"/>
      <c r="G977" s="18">
        <f>IF(D977="Tandem",10,IF(D977="TT",22,IF(D977="Quad",25,"")))</f>
        <v/>
      </c>
      <c r="H977" s="19">
        <f>IFERROR(IF(F977*G977=0,0,F977*G977),0)</f>
        <v/>
      </c>
      <c r="I977" s="20" t="n"/>
      <c r="J977" s="57" t="n"/>
      <c r="K977" s="14" t="n"/>
      <c r="L977" s="22" t="n"/>
      <c r="M977" s="58" t="n"/>
      <c r="N977" s="22" t="n"/>
      <c r="O977" s="24">
        <f>IFERROR(IF(OR(M977="",M977=0),0,H977*VALUE(SUBSTITUTE(M977&amp;"","$",""))),0)</f>
        <v/>
      </c>
    </row>
    <row r="978" hidden="1" outlineLevel="1" ht="16" customHeight="1">
      <c r="A978" s="13" t="n"/>
      <c r="B978" s="25" t="n"/>
      <c r="C978" s="26" t="n"/>
      <c r="D978" s="56" t="n"/>
      <c r="E978" s="56" t="n"/>
      <c r="F978" s="27" t="n"/>
      <c r="G978" s="18">
        <f>IF(D978="Tandem",10,IF(D978="TT",22,IF(D978="Quad",25,"")))</f>
        <v/>
      </c>
      <c r="H978" s="28">
        <f>IFERROR(IF(F978*G978=0,0,F978*G978),0)</f>
        <v/>
      </c>
      <c r="I978" s="29" t="n"/>
      <c r="J978" s="57" t="n"/>
      <c r="K978" s="25" t="n"/>
      <c r="L978" s="30" t="n"/>
      <c r="M978" s="58" t="n"/>
      <c r="N978" s="30" t="n"/>
      <c r="O978" s="24">
        <f>IFERROR(IF(OR(M978="",M978=0),0,H978*VALUE(SUBSTITUTE(M978&amp;"","$",""))),0)</f>
        <v/>
      </c>
    </row>
    <row r="979" hidden="1" outlineLevel="1" ht="16" customHeight="1">
      <c r="A979" s="13" t="n"/>
      <c r="B979" s="14" t="n"/>
      <c r="C979" s="15" t="n"/>
      <c r="D979" s="56" t="n"/>
      <c r="E979" s="56" t="n"/>
      <c r="F979" s="17" t="n"/>
      <c r="G979" s="18">
        <f>IF(D979="Tandem",10,IF(D979="TT",22,IF(D979="Quad",25,"")))</f>
        <v/>
      </c>
      <c r="H979" s="19">
        <f>IFERROR(IF(F979*G979=0,0,F979*G979),0)</f>
        <v/>
      </c>
      <c r="I979" s="20" t="n"/>
      <c r="J979" s="57" t="n"/>
      <c r="K979" s="14" t="n"/>
      <c r="L979" s="22" t="n"/>
      <c r="M979" s="58" t="n"/>
      <c r="N979" s="22" t="n"/>
      <c r="O979" s="24">
        <f>IFERROR(IF(OR(M979="",M979=0),0,H979*VALUE(SUBSTITUTE(M979&amp;"","$",""))),0)</f>
        <v/>
      </c>
    </row>
    <row r="980" hidden="1" outlineLevel="1" ht="16" customHeight="1">
      <c r="A980" s="13" t="n"/>
      <c r="B980" s="25" t="n"/>
      <c r="C980" s="26" t="n"/>
      <c r="D980" s="56" t="n"/>
      <c r="E980" s="56" t="n"/>
      <c r="F980" s="27" t="n"/>
      <c r="G980" s="18">
        <f>IF(D980="Tandem",10,IF(D980="TT",22,IF(D980="Quad",25,"")))</f>
        <v/>
      </c>
      <c r="H980" s="28">
        <f>IFERROR(IF(F980*G980=0,0,F980*G980),0)</f>
        <v/>
      </c>
      <c r="I980" s="29" t="n"/>
      <c r="J980" s="57" t="n"/>
      <c r="K980" s="25" t="n"/>
      <c r="L980" s="30" t="n"/>
      <c r="M980" s="58" t="n"/>
      <c r="N980" s="30" t="n"/>
      <c r="O980" s="24">
        <f>IFERROR(IF(OR(M980="",M980=0),0,H980*VALUE(SUBSTITUTE(M980&amp;"","$",""))),0)</f>
        <v/>
      </c>
    </row>
    <row r="981" hidden="1" outlineLevel="1" ht="16" customHeight="1">
      <c r="A981" s="13" t="n"/>
      <c r="B981" s="14" t="n"/>
      <c r="C981" s="15" t="n"/>
      <c r="D981" s="56" t="n"/>
      <c r="E981" s="56" t="n"/>
      <c r="F981" s="17" t="n"/>
      <c r="G981" s="18">
        <f>IF(D981="Tandem",10,IF(D981="TT",22,IF(D981="Quad",25,"")))</f>
        <v/>
      </c>
      <c r="H981" s="19">
        <f>IFERROR(IF(F981*G981=0,0,F981*G981),0)</f>
        <v/>
      </c>
      <c r="I981" s="20" t="n"/>
      <c r="J981" s="57" t="n"/>
      <c r="K981" s="14" t="n"/>
      <c r="L981" s="22" t="n"/>
      <c r="M981" s="58" t="n"/>
      <c r="N981" s="22" t="n"/>
      <c r="O981" s="24">
        <f>IFERROR(IF(OR(M981="",M981=0),0,H981*VALUE(SUBSTITUTE(M981&amp;"","$",""))),0)</f>
        <v/>
      </c>
    </row>
    <row r="982" hidden="1" outlineLevel="1" ht="16" customHeight="1">
      <c r="A982" s="13" t="n"/>
      <c r="B982" s="25" t="n"/>
      <c r="C982" s="26" t="n"/>
      <c r="D982" s="56" t="n"/>
      <c r="E982" s="56" t="n"/>
      <c r="F982" s="27" t="n"/>
      <c r="G982" s="18">
        <f>IF(D982="Tandem",10,IF(D982="TT",22,IF(D982="Quad",25,"")))</f>
        <v/>
      </c>
      <c r="H982" s="28">
        <f>IFERROR(IF(F982*G982=0,0,F982*G982),0)</f>
        <v/>
      </c>
      <c r="I982" s="29" t="n"/>
      <c r="J982" s="57" t="n"/>
      <c r="K982" s="25" t="n"/>
      <c r="L982" s="30" t="n"/>
      <c r="M982" s="58" t="n"/>
      <c r="N982" s="30" t="n"/>
      <c r="O982" s="24">
        <f>IFERROR(IF(OR(M982="",M982=0),0,H982*VALUE(SUBSTITUTE(M982&amp;"","$",""))),0)</f>
        <v/>
      </c>
    </row>
    <row r="983" hidden="1" outlineLevel="1" ht="16" customHeight="1">
      <c r="A983" s="13" t="n"/>
      <c r="B983" s="14" t="n"/>
      <c r="C983" s="15" t="n"/>
      <c r="D983" s="56" t="n"/>
      <c r="E983" s="56" t="n"/>
      <c r="F983" s="17" t="n"/>
      <c r="G983" s="18">
        <f>IF(D983="Tandem",10,IF(D983="TT",22,IF(D983="Quad",25,"")))</f>
        <v/>
      </c>
      <c r="H983" s="19">
        <f>IFERROR(IF(F983*G983=0,0,F983*G983),0)</f>
        <v/>
      </c>
      <c r="I983" s="20" t="n"/>
      <c r="J983" s="57" t="n"/>
      <c r="K983" s="14" t="n"/>
      <c r="L983" s="22" t="n"/>
      <c r="M983" s="58" t="n"/>
      <c r="N983" s="22" t="n"/>
      <c r="O983" s="24">
        <f>IFERROR(IF(OR(M983="",M983=0),0,H983*VALUE(SUBSTITUTE(M983&amp;"","$",""))),0)</f>
        <v/>
      </c>
    </row>
    <row r="984" hidden="1" outlineLevel="1" ht="16" customHeight="1">
      <c r="A984" s="13" t="n"/>
      <c r="B984" s="25" t="n"/>
      <c r="C984" s="26" t="n"/>
      <c r="D984" s="56" t="n"/>
      <c r="E984" s="56" t="n"/>
      <c r="F984" s="27" t="n"/>
      <c r="G984" s="18">
        <f>IF(D984="Tandem",10,IF(D984="TT",22,IF(D984="Quad",25,"")))</f>
        <v/>
      </c>
      <c r="H984" s="28">
        <f>IFERROR(IF(F984*G984=0,0,F984*G984),0)</f>
        <v/>
      </c>
      <c r="I984" s="29" t="n"/>
      <c r="J984" s="57" t="n"/>
      <c r="K984" s="25" t="n"/>
      <c r="L984" s="30" t="n"/>
      <c r="M984" s="58" t="n"/>
      <c r="N984" s="30" t="n"/>
      <c r="O984" s="24">
        <f>IFERROR(IF(OR(M984="",M984=0),0,H984*VALUE(SUBSTITUTE(M984&amp;"","$",""))),0)</f>
        <v/>
      </c>
    </row>
    <row r="985" hidden="1" outlineLevel="1" ht="20" customHeight="1">
      <c r="A985" s="59" t="inlineStr">
        <is>
          <t>Daily Notes:</t>
        </is>
      </c>
      <c r="B985" s="54" t="n"/>
      <c r="C985" s="54" t="n"/>
      <c r="D985" s="54" t="n"/>
      <c r="E985" s="54" t="n"/>
      <c r="F985" s="54" t="n"/>
      <c r="G985" s="54" t="n"/>
      <c r="H985" s="54" t="n"/>
      <c r="I985" s="54" t="n"/>
      <c r="J985" s="54" t="n"/>
      <c r="K985" s="54" t="n"/>
      <c r="L985" s="54" t="n"/>
      <c r="M985" s="54" t="n"/>
      <c r="N985" s="50" t="n"/>
      <c r="O985" s="60" t="n"/>
    </row>
    <row r="986" hidden="1" outlineLevel="1" ht="18" customHeight="1">
      <c r="A986" s="32" t="inlineStr">
        <is>
          <t>DAILY TOTAL</t>
        </is>
      </c>
      <c r="B986" s="54" t="n"/>
      <c r="C986" s="54" t="n"/>
      <c r="D986" s="54" t="n"/>
      <c r="E986" s="54" t="n"/>
      <c r="F986" s="54" t="n"/>
      <c r="G986" s="50" t="n"/>
      <c r="H986" s="34">
        <f>SUM(H955:H984)</f>
        <v/>
      </c>
      <c r="I986" s="35">
        <f>SUM(I955:I984)</f>
        <v/>
      </c>
      <c r="J986" s="61" t="n"/>
      <c r="K986" s="61" t="n"/>
      <c r="L986" s="61" t="n"/>
      <c r="M986" s="36">
        <f>SUM(O955:O984)</f>
        <v/>
      </c>
      <c r="N986" s="61" t="n"/>
      <c r="O986" s="62" t="n"/>
    </row>
    <row r="987" hidden="1" outlineLevel="1" ht="18" customHeight="1">
      <c r="A987" s="2" t="inlineStr">
        <is>
          <t>▶ RUNNING TOTAL</t>
        </is>
      </c>
      <c r="B987" s="54" t="n"/>
      <c r="C987" s="54" t="n"/>
      <c r="D987" s="54" t="n"/>
      <c r="E987" s="54" t="n"/>
      <c r="F987" s="54" t="n"/>
      <c r="G987" s="50" t="n"/>
      <c r="H987" s="37">
        <f>H50+H86+H122+H158+H194+H230+H266+H302+H338+H374+H410+H446+H482+H518+H554+H590+H626+H662+H698+H734+H770+H806+H842+H878+H914+H950+H986</f>
        <v/>
      </c>
      <c r="I987" s="63" t="n"/>
      <c r="J987" s="63" t="n"/>
      <c r="K987" s="63" t="n"/>
      <c r="L987" s="63" t="n"/>
      <c r="M987" s="38">
        <f>M50+M86+M122+M158+M194+M230+M266+M302+M338+M374+M410+M446+M482+M518+M554+M590+M626+M662+M698+M734+M770+M806+M842+M878+M914+M950+M986</f>
        <v/>
      </c>
      <c r="N987" s="63" t="n"/>
      <c r="O987" s="64" t="n"/>
    </row>
    <row r="988" hidden="1" outlineLevel="1" ht="8" customHeight="1"/>
    <row r="989" ht="22" customHeight="1">
      <c r="A989" s="55" t="inlineStr">
        <is>
          <t>DAY 28</t>
        </is>
      </c>
      <c r="B989" s="54" t="n"/>
      <c r="C989" s="54" t="n"/>
      <c r="D989" s="54" t="n"/>
      <c r="E989" s="54" t="n"/>
      <c r="F989" s="54" t="n"/>
      <c r="G989" s="54" t="n"/>
      <c r="H989" s="54" t="n"/>
      <c r="I989" s="54" t="n"/>
      <c r="J989" s="54" t="n"/>
      <c r="K989" s="54" t="n"/>
      <c r="L989" s="54" t="n"/>
      <c r="M989" s="54" t="n"/>
      <c r="N989" s="50" t="n"/>
    </row>
    <row r="990" hidden="1" outlineLevel="1" ht="28" customHeight="1">
      <c r="A990" s="12" t="inlineStr">
        <is>
          <t>Date</t>
        </is>
      </c>
      <c r="B990" s="12" t="inlineStr">
        <is>
          <t>Cartage Company</t>
        </is>
      </c>
      <c r="C990" s="12" t="inlineStr">
        <is>
          <t>Truck Rego</t>
        </is>
      </c>
      <c r="D990" s="12" t="inlineStr">
        <is>
          <t>Truck Type</t>
        </is>
      </c>
      <c r="E990" s="12" t="inlineStr">
        <is>
          <t>Exp / Imp</t>
        </is>
      </c>
      <c r="F990" s="12" t="inlineStr">
        <is>
          <t>Loads</t>
        </is>
      </c>
      <c r="G990" s="12" t="inlineStr">
        <is>
          <t>m³ / Load</t>
        </is>
      </c>
      <c r="H990" s="12" t="inlineStr">
        <is>
          <t>Total m³</t>
        </is>
      </c>
      <c r="I990" s="12" t="inlineStr">
        <is>
          <t>Hours</t>
        </is>
      </c>
      <c r="J990" s="12" t="inlineStr">
        <is>
          <t>Material</t>
        </is>
      </c>
      <c r="K990" s="12" t="inlineStr">
        <is>
          <t>Tip Site</t>
        </is>
      </c>
      <c r="L990" s="12" t="inlineStr">
        <is>
          <t>Docket #</t>
        </is>
      </c>
      <c r="M990" s="12" t="inlineStr">
        <is>
          <t>Rate Paid ($/m³)</t>
        </is>
      </c>
      <c r="N990" s="12" t="inlineStr">
        <is>
          <t>Invoice #</t>
        </is>
      </c>
    </row>
    <row r="991" hidden="1" outlineLevel="1" ht="16" customHeight="1">
      <c r="A991" s="13" t="n"/>
      <c r="B991" s="14" t="n"/>
      <c r="C991" s="15" t="n"/>
      <c r="D991" s="56" t="n"/>
      <c r="E991" s="56" t="n"/>
      <c r="F991" s="17" t="n"/>
      <c r="G991" s="18">
        <f>IF(D991="Tandem",10,IF(D991="TT",22,IF(D991="Quad",25,"")))</f>
        <v/>
      </c>
      <c r="H991" s="19">
        <f>IFERROR(IF(F991*G991=0,0,F991*G991),0)</f>
        <v/>
      </c>
      <c r="I991" s="20" t="n"/>
      <c r="J991" s="57" t="n"/>
      <c r="K991" s="14" t="n"/>
      <c r="L991" s="22" t="n"/>
      <c r="M991" s="58" t="n"/>
      <c r="N991" s="22" t="n"/>
      <c r="O991" s="24">
        <f>IFERROR(IF(OR(M991="",M991=0),0,H991*VALUE(SUBSTITUTE(M991&amp;"","$",""))),0)</f>
        <v/>
      </c>
    </row>
    <row r="992" hidden="1" outlineLevel="1" ht="16" customHeight="1">
      <c r="A992" s="13" t="n"/>
      <c r="B992" s="25" t="n"/>
      <c r="C992" s="26" t="n"/>
      <c r="D992" s="56" t="n"/>
      <c r="E992" s="56" t="n"/>
      <c r="F992" s="27" t="n"/>
      <c r="G992" s="18">
        <f>IF(D992="Tandem",10,IF(D992="TT",22,IF(D992="Quad",25,"")))</f>
        <v/>
      </c>
      <c r="H992" s="28">
        <f>IFERROR(IF(F992*G992=0,0,F992*G992),0)</f>
        <v/>
      </c>
      <c r="I992" s="29" t="n"/>
      <c r="J992" s="57" t="n"/>
      <c r="K992" s="25" t="n"/>
      <c r="L992" s="30" t="n"/>
      <c r="M992" s="58" t="n"/>
      <c r="N992" s="30" t="n"/>
      <c r="O992" s="24">
        <f>IFERROR(IF(OR(M992="",M992=0),0,H992*VALUE(SUBSTITUTE(M992&amp;"","$",""))),0)</f>
        <v/>
      </c>
    </row>
    <row r="993" hidden="1" outlineLevel="1" ht="16" customHeight="1">
      <c r="A993" s="13" t="n"/>
      <c r="B993" s="14" t="n"/>
      <c r="C993" s="15" t="n"/>
      <c r="D993" s="56" t="n"/>
      <c r="E993" s="56" t="n"/>
      <c r="F993" s="17" t="n"/>
      <c r="G993" s="18">
        <f>IF(D993="Tandem",10,IF(D993="TT",22,IF(D993="Quad",25,"")))</f>
        <v/>
      </c>
      <c r="H993" s="19">
        <f>IFERROR(IF(F993*G993=0,0,F993*G993),0)</f>
        <v/>
      </c>
      <c r="I993" s="20" t="n"/>
      <c r="J993" s="57" t="n"/>
      <c r="K993" s="14" t="n"/>
      <c r="L993" s="22" t="n"/>
      <c r="M993" s="58" t="n"/>
      <c r="N993" s="22" t="n"/>
      <c r="O993" s="24">
        <f>IFERROR(IF(OR(M993="",M993=0),0,H993*VALUE(SUBSTITUTE(M993&amp;"","$",""))),0)</f>
        <v/>
      </c>
    </row>
    <row r="994" hidden="1" outlineLevel="1" ht="16" customHeight="1">
      <c r="A994" s="13" t="n"/>
      <c r="B994" s="25" t="n"/>
      <c r="C994" s="26" t="n"/>
      <c r="D994" s="56" t="n"/>
      <c r="E994" s="56" t="n"/>
      <c r="F994" s="27" t="n"/>
      <c r="G994" s="18">
        <f>IF(D994="Tandem",10,IF(D994="TT",22,IF(D994="Quad",25,"")))</f>
        <v/>
      </c>
      <c r="H994" s="28">
        <f>IFERROR(IF(F994*G994=0,0,F994*G994),0)</f>
        <v/>
      </c>
      <c r="I994" s="29" t="n"/>
      <c r="J994" s="57" t="n"/>
      <c r="K994" s="25" t="n"/>
      <c r="L994" s="30" t="n"/>
      <c r="M994" s="58" t="n"/>
      <c r="N994" s="30" t="n"/>
      <c r="O994" s="24">
        <f>IFERROR(IF(OR(M994="",M994=0),0,H994*VALUE(SUBSTITUTE(M994&amp;"","$",""))),0)</f>
        <v/>
      </c>
    </row>
    <row r="995" hidden="1" outlineLevel="1" ht="16" customHeight="1">
      <c r="A995" s="13" t="n"/>
      <c r="B995" s="14" t="n"/>
      <c r="C995" s="15" t="n"/>
      <c r="D995" s="56" t="n"/>
      <c r="E995" s="56" t="n"/>
      <c r="F995" s="17" t="n"/>
      <c r="G995" s="18">
        <f>IF(D995="Tandem",10,IF(D995="TT",22,IF(D995="Quad",25,"")))</f>
        <v/>
      </c>
      <c r="H995" s="19">
        <f>IFERROR(IF(F995*G995=0,0,F995*G995),0)</f>
        <v/>
      </c>
      <c r="I995" s="20" t="n"/>
      <c r="J995" s="57" t="n"/>
      <c r="K995" s="14" t="n"/>
      <c r="L995" s="22" t="n"/>
      <c r="M995" s="58" t="n"/>
      <c r="N995" s="22" t="n"/>
      <c r="O995" s="24">
        <f>IFERROR(IF(OR(M995="",M995=0),0,H995*VALUE(SUBSTITUTE(M995&amp;"","$",""))),0)</f>
        <v/>
      </c>
    </row>
    <row r="996" hidden="1" outlineLevel="1" ht="16" customHeight="1">
      <c r="A996" s="13" t="n"/>
      <c r="B996" s="25" t="n"/>
      <c r="C996" s="26" t="n"/>
      <c r="D996" s="56" t="n"/>
      <c r="E996" s="56" t="n"/>
      <c r="F996" s="27" t="n"/>
      <c r="G996" s="18">
        <f>IF(D996="Tandem",10,IF(D996="TT",22,IF(D996="Quad",25,"")))</f>
        <v/>
      </c>
      <c r="H996" s="28">
        <f>IFERROR(IF(F996*G996=0,0,F996*G996),0)</f>
        <v/>
      </c>
      <c r="I996" s="29" t="n"/>
      <c r="J996" s="57" t="n"/>
      <c r="K996" s="25" t="n"/>
      <c r="L996" s="30" t="n"/>
      <c r="M996" s="58" t="n"/>
      <c r="N996" s="30" t="n"/>
      <c r="O996" s="24">
        <f>IFERROR(IF(OR(M996="",M996=0),0,H996*VALUE(SUBSTITUTE(M996&amp;"","$",""))),0)</f>
        <v/>
      </c>
    </row>
    <row r="997" hidden="1" outlineLevel="1" ht="16" customHeight="1">
      <c r="A997" s="13" t="n"/>
      <c r="B997" s="14" t="n"/>
      <c r="C997" s="15" t="n"/>
      <c r="D997" s="56" t="n"/>
      <c r="E997" s="56" t="n"/>
      <c r="F997" s="17" t="n"/>
      <c r="G997" s="18">
        <f>IF(D997="Tandem",10,IF(D997="TT",22,IF(D997="Quad",25,"")))</f>
        <v/>
      </c>
      <c r="H997" s="19">
        <f>IFERROR(IF(F997*G997=0,0,F997*G997),0)</f>
        <v/>
      </c>
      <c r="I997" s="20" t="n"/>
      <c r="J997" s="57" t="n"/>
      <c r="K997" s="14" t="n"/>
      <c r="L997" s="22" t="n"/>
      <c r="M997" s="58" t="n"/>
      <c r="N997" s="22" t="n"/>
      <c r="O997" s="24">
        <f>IFERROR(IF(OR(M997="",M997=0),0,H997*VALUE(SUBSTITUTE(M997&amp;"","$",""))),0)</f>
        <v/>
      </c>
    </row>
    <row r="998" hidden="1" outlineLevel="1" ht="16" customHeight="1">
      <c r="A998" s="13" t="n"/>
      <c r="B998" s="25" t="n"/>
      <c r="C998" s="26" t="n"/>
      <c r="D998" s="56" t="n"/>
      <c r="E998" s="56" t="n"/>
      <c r="F998" s="27" t="n"/>
      <c r="G998" s="18">
        <f>IF(D998="Tandem",10,IF(D998="TT",22,IF(D998="Quad",25,"")))</f>
        <v/>
      </c>
      <c r="H998" s="28">
        <f>IFERROR(IF(F998*G998=0,0,F998*G998),0)</f>
        <v/>
      </c>
      <c r="I998" s="29" t="n"/>
      <c r="J998" s="57" t="n"/>
      <c r="K998" s="25" t="n"/>
      <c r="L998" s="30" t="n"/>
      <c r="M998" s="58" t="n"/>
      <c r="N998" s="30" t="n"/>
      <c r="O998" s="24">
        <f>IFERROR(IF(OR(M998="",M998=0),0,H998*VALUE(SUBSTITUTE(M998&amp;"","$",""))),0)</f>
        <v/>
      </c>
    </row>
    <row r="999" hidden="1" outlineLevel="1" ht="16" customHeight="1">
      <c r="A999" s="13" t="n"/>
      <c r="B999" s="14" t="n"/>
      <c r="C999" s="15" t="n"/>
      <c r="D999" s="56" t="n"/>
      <c r="E999" s="56" t="n"/>
      <c r="F999" s="17" t="n"/>
      <c r="G999" s="18">
        <f>IF(D999="Tandem",10,IF(D999="TT",22,IF(D999="Quad",25,"")))</f>
        <v/>
      </c>
      <c r="H999" s="19">
        <f>IFERROR(IF(F999*G999=0,0,F999*G999),0)</f>
        <v/>
      </c>
      <c r="I999" s="20" t="n"/>
      <c r="J999" s="57" t="n"/>
      <c r="K999" s="14" t="n"/>
      <c r="L999" s="22" t="n"/>
      <c r="M999" s="58" t="n"/>
      <c r="N999" s="22" t="n"/>
      <c r="O999" s="24">
        <f>IFERROR(IF(OR(M999="",M999=0),0,H999*VALUE(SUBSTITUTE(M999&amp;"","$",""))),0)</f>
        <v/>
      </c>
    </row>
    <row r="1000" hidden="1" outlineLevel="1" ht="16" customHeight="1">
      <c r="A1000" s="13" t="n"/>
      <c r="B1000" s="25" t="n"/>
      <c r="C1000" s="26" t="n"/>
      <c r="D1000" s="56" t="n"/>
      <c r="E1000" s="56" t="n"/>
      <c r="F1000" s="27" t="n"/>
      <c r="G1000" s="18">
        <f>IF(D1000="Tandem",10,IF(D1000="TT",22,IF(D1000="Quad",25,"")))</f>
        <v/>
      </c>
      <c r="H1000" s="28">
        <f>IFERROR(IF(F1000*G1000=0,0,F1000*G1000),0)</f>
        <v/>
      </c>
      <c r="I1000" s="29" t="n"/>
      <c r="J1000" s="57" t="n"/>
      <c r="K1000" s="25" t="n"/>
      <c r="L1000" s="30" t="n"/>
      <c r="M1000" s="58" t="n"/>
      <c r="N1000" s="30" t="n"/>
      <c r="O1000" s="24">
        <f>IFERROR(IF(OR(M1000="",M1000=0),0,H1000*VALUE(SUBSTITUTE(M1000&amp;"","$",""))),0)</f>
        <v/>
      </c>
    </row>
    <row r="1001" hidden="1" outlineLevel="1" ht="16" customHeight="1">
      <c r="A1001" s="13" t="n"/>
      <c r="B1001" s="14" t="n"/>
      <c r="C1001" s="15" t="n"/>
      <c r="D1001" s="56" t="n"/>
      <c r="E1001" s="56" t="n"/>
      <c r="F1001" s="17" t="n"/>
      <c r="G1001" s="18">
        <f>IF(D1001="Tandem",10,IF(D1001="TT",22,IF(D1001="Quad",25,"")))</f>
        <v/>
      </c>
      <c r="H1001" s="19">
        <f>IFERROR(IF(F1001*G1001=0,0,F1001*G1001),0)</f>
        <v/>
      </c>
      <c r="I1001" s="20" t="n"/>
      <c r="J1001" s="57" t="n"/>
      <c r="K1001" s="14" t="n"/>
      <c r="L1001" s="22" t="n"/>
      <c r="M1001" s="58" t="n"/>
      <c r="N1001" s="22" t="n"/>
      <c r="O1001" s="24">
        <f>IFERROR(IF(OR(M1001="",M1001=0),0,H1001*VALUE(SUBSTITUTE(M1001&amp;"","$",""))),0)</f>
        <v/>
      </c>
    </row>
    <row r="1002" hidden="1" outlineLevel="1" ht="16" customHeight="1">
      <c r="A1002" s="13" t="n"/>
      <c r="B1002" s="25" t="n"/>
      <c r="C1002" s="26" t="n"/>
      <c r="D1002" s="56" t="n"/>
      <c r="E1002" s="56" t="n"/>
      <c r="F1002" s="27" t="n"/>
      <c r="G1002" s="18">
        <f>IF(D1002="Tandem",10,IF(D1002="TT",22,IF(D1002="Quad",25,"")))</f>
        <v/>
      </c>
      <c r="H1002" s="28">
        <f>IFERROR(IF(F1002*G1002=0,0,F1002*G1002),0)</f>
        <v/>
      </c>
      <c r="I1002" s="29" t="n"/>
      <c r="J1002" s="57" t="n"/>
      <c r="K1002" s="25" t="n"/>
      <c r="L1002" s="30" t="n"/>
      <c r="M1002" s="58" t="n"/>
      <c r="N1002" s="30" t="n"/>
      <c r="O1002" s="24">
        <f>IFERROR(IF(OR(M1002="",M1002=0),0,H1002*VALUE(SUBSTITUTE(M1002&amp;"","$",""))),0)</f>
        <v/>
      </c>
    </row>
    <row r="1003" hidden="1" outlineLevel="1" ht="16" customHeight="1">
      <c r="A1003" s="13" t="n"/>
      <c r="B1003" s="14" t="n"/>
      <c r="C1003" s="15" t="n"/>
      <c r="D1003" s="56" t="n"/>
      <c r="E1003" s="56" t="n"/>
      <c r="F1003" s="17" t="n"/>
      <c r="G1003" s="18">
        <f>IF(D1003="Tandem",10,IF(D1003="TT",22,IF(D1003="Quad",25,"")))</f>
        <v/>
      </c>
      <c r="H1003" s="19">
        <f>IFERROR(IF(F1003*G1003=0,0,F1003*G1003),0)</f>
        <v/>
      </c>
      <c r="I1003" s="20" t="n"/>
      <c r="J1003" s="57" t="n"/>
      <c r="K1003" s="14" t="n"/>
      <c r="L1003" s="22" t="n"/>
      <c r="M1003" s="58" t="n"/>
      <c r="N1003" s="22" t="n"/>
      <c r="O1003" s="24">
        <f>IFERROR(IF(OR(M1003="",M1003=0),0,H1003*VALUE(SUBSTITUTE(M1003&amp;"","$",""))),0)</f>
        <v/>
      </c>
    </row>
    <row r="1004" hidden="1" outlineLevel="1" ht="16" customHeight="1">
      <c r="A1004" s="13" t="n"/>
      <c r="B1004" s="25" t="n"/>
      <c r="C1004" s="26" t="n"/>
      <c r="D1004" s="56" t="n"/>
      <c r="E1004" s="56" t="n"/>
      <c r="F1004" s="27" t="n"/>
      <c r="G1004" s="18">
        <f>IF(D1004="Tandem",10,IF(D1004="TT",22,IF(D1004="Quad",25,"")))</f>
        <v/>
      </c>
      <c r="H1004" s="28">
        <f>IFERROR(IF(F1004*G1004=0,0,F1004*G1004),0)</f>
        <v/>
      </c>
      <c r="I1004" s="29" t="n"/>
      <c r="J1004" s="57" t="n"/>
      <c r="K1004" s="25" t="n"/>
      <c r="L1004" s="30" t="n"/>
      <c r="M1004" s="58" t="n"/>
      <c r="N1004" s="30" t="n"/>
      <c r="O1004" s="24">
        <f>IFERROR(IF(OR(M1004="",M1004=0),0,H1004*VALUE(SUBSTITUTE(M1004&amp;"","$",""))),0)</f>
        <v/>
      </c>
    </row>
    <row r="1005" hidden="1" outlineLevel="1" ht="16" customHeight="1">
      <c r="A1005" s="13" t="n"/>
      <c r="B1005" s="14" t="n"/>
      <c r="C1005" s="15" t="n"/>
      <c r="D1005" s="56" t="n"/>
      <c r="E1005" s="56" t="n"/>
      <c r="F1005" s="17" t="n"/>
      <c r="G1005" s="18">
        <f>IF(D1005="Tandem",10,IF(D1005="TT",22,IF(D1005="Quad",25,"")))</f>
        <v/>
      </c>
      <c r="H1005" s="19">
        <f>IFERROR(IF(F1005*G1005=0,0,F1005*G1005),0)</f>
        <v/>
      </c>
      <c r="I1005" s="20" t="n"/>
      <c r="J1005" s="57" t="n"/>
      <c r="K1005" s="14" t="n"/>
      <c r="L1005" s="22" t="n"/>
      <c r="M1005" s="58" t="n"/>
      <c r="N1005" s="22" t="n"/>
      <c r="O1005" s="24">
        <f>IFERROR(IF(OR(M1005="",M1005=0),0,H1005*VALUE(SUBSTITUTE(M1005&amp;"","$",""))),0)</f>
        <v/>
      </c>
    </row>
    <row r="1006" hidden="1" outlineLevel="1" ht="16" customHeight="1">
      <c r="A1006" s="13" t="n"/>
      <c r="B1006" s="25" t="n"/>
      <c r="C1006" s="26" t="n"/>
      <c r="D1006" s="56" t="n"/>
      <c r="E1006" s="56" t="n"/>
      <c r="F1006" s="27" t="n"/>
      <c r="G1006" s="18">
        <f>IF(D1006="Tandem",10,IF(D1006="TT",22,IF(D1006="Quad",25,"")))</f>
        <v/>
      </c>
      <c r="H1006" s="28">
        <f>IFERROR(IF(F1006*G1006=0,0,F1006*G1006),0)</f>
        <v/>
      </c>
      <c r="I1006" s="29" t="n"/>
      <c r="J1006" s="57" t="n"/>
      <c r="K1006" s="25" t="n"/>
      <c r="L1006" s="30" t="n"/>
      <c r="M1006" s="58" t="n"/>
      <c r="N1006" s="30" t="n"/>
      <c r="O1006" s="24">
        <f>IFERROR(IF(OR(M1006="",M1006=0),0,H1006*VALUE(SUBSTITUTE(M1006&amp;"","$",""))),0)</f>
        <v/>
      </c>
    </row>
    <row r="1007" hidden="1" outlineLevel="1" ht="16" customHeight="1">
      <c r="A1007" s="13" t="n"/>
      <c r="B1007" s="14" t="n"/>
      <c r="C1007" s="15" t="n"/>
      <c r="D1007" s="56" t="n"/>
      <c r="E1007" s="56" t="n"/>
      <c r="F1007" s="17" t="n"/>
      <c r="G1007" s="18">
        <f>IF(D1007="Tandem",10,IF(D1007="TT",22,IF(D1007="Quad",25,"")))</f>
        <v/>
      </c>
      <c r="H1007" s="19">
        <f>IFERROR(IF(F1007*G1007=0,0,F1007*G1007),0)</f>
        <v/>
      </c>
      <c r="I1007" s="20" t="n"/>
      <c r="J1007" s="57" t="n"/>
      <c r="K1007" s="14" t="n"/>
      <c r="L1007" s="22" t="n"/>
      <c r="M1007" s="58" t="n"/>
      <c r="N1007" s="22" t="n"/>
      <c r="O1007" s="24">
        <f>IFERROR(IF(OR(M1007="",M1007=0),0,H1007*VALUE(SUBSTITUTE(M1007&amp;"","$",""))),0)</f>
        <v/>
      </c>
    </row>
    <row r="1008" hidden="1" outlineLevel="1" ht="16" customHeight="1">
      <c r="A1008" s="13" t="n"/>
      <c r="B1008" s="25" t="n"/>
      <c r="C1008" s="26" t="n"/>
      <c r="D1008" s="56" t="n"/>
      <c r="E1008" s="56" t="n"/>
      <c r="F1008" s="27" t="n"/>
      <c r="G1008" s="18">
        <f>IF(D1008="Tandem",10,IF(D1008="TT",22,IF(D1008="Quad",25,"")))</f>
        <v/>
      </c>
      <c r="H1008" s="28">
        <f>IFERROR(IF(F1008*G1008=0,0,F1008*G1008),0)</f>
        <v/>
      </c>
      <c r="I1008" s="29" t="n"/>
      <c r="J1008" s="57" t="n"/>
      <c r="K1008" s="25" t="n"/>
      <c r="L1008" s="30" t="n"/>
      <c r="M1008" s="58" t="n"/>
      <c r="N1008" s="30" t="n"/>
      <c r="O1008" s="24">
        <f>IFERROR(IF(OR(M1008="",M1008=0),0,H1008*VALUE(SUBSTITUTE(M1008&amp;"","$",""))),0)</f>
        <v/>
      </c>
    </row>
    <row r="1009" hidden="1" outlineLevel="1" ht="16" customHeight="1">
      <c r="A1009" s="13" t="n"/>
      <c r="B1009" s="14" t="n"/>
      <c r="C1009" s="15" t="n"/>
      <c r="D1009" s="56" t="n"/>
      <c r="E1009" s="56" t="n"/>
      <c r="F1009" s="17" t="n"/>
      <c r="G1009" s="18">
        <f>IF(D1009="Tandem",10,IF(D1009="TT",22,IF(D1009="Quad",25,"")))</f>
        <v/>
      </c>
      <c r="H1009" s="19">
        <f>IFERROR(IF(F1009*G1009=0,0,F1009*G1009),0)</f>
        <v/>
      </c>
      <c r="I1009" s="20" t="n"/>
      <c r="J1009" s="57" t="n"/>
      <c r="K1009" s="14" t="n"/>
      <c r="L1009" s="22" t="n"/>
      <c r="M1009" s="58" t="n"/>
      <c r="N1009" s="22" t="n"/>
      <c r="O1009" s="24">
        <f>IFERROR(IF(OR(M1009="",M1009=0),0,H1009*VALUE(SUBSTITUTE(M1009&amp;"","$",""))),0)</f>
        <v/>
      </c>
    </row>
    <row r="1010" hidden="1" outlineLevel="1" ht="16" customHeight="1">
      <c r="A1010" s="13" t="n"/>
      <c r="B1010" s="25" t="n"/>
      <c r="C1010" s="26" t="n"/>
      <c r="D1010" s="56" t="n"/>
      <c r="E1010" s="56" t="n"/>
      <c r="F1010" s="27" t="n"/>
      <c r="G1010" s="18">
        <f>IF(D1010="Tandem",10,IF(D1010="TT",22,IF(D1010="Quad",25,"")))</f>
        <v/>
      </c>
      <c r="H1010" s="28">
        <f>IFERROR(IF(F1010*G1010=0,0,F1010*G1010),0)</f>
        <v/>
      </c>
      <c r="I1010" s="29" t="n"/>
      <c r="J1010" s="57" t="n"/>
      <c r="K1010" s="25" t="n"/>
      <c r="L1010" s="30" t="n"/>
      <c r="M1010" s="58" t="n"/>
      <c r="N1010" s="30" t="n"/>
      <c r="O1010" s="24">
        <f>IFERROR(IF(OR(M1010="",M1010=0),0,H1010*VALUE(SUBSTITUTE(M1010&amp;"","$",""))),0)</f>
        <v/>
      </c>
    </row>
    <row r="1011" hidden="1" outlineLevel="1" ht="16" customHeight="1">
      <c r="A1011" s="13" t="n"/>
      <c r="B1011" s="14" t="n"/>
      <c r="C1011" s="15" t="n"/>
      <c r="D1011" s="56" t="n"/>
      <c r="E1011" s="56" t="n"/>
      <c r="F1011" s="17" t="n"/>
      <c r="G1011" s="18">
        <f>IF(D1011="Tandem",10,IF(D1011="TT",22,IF(D1011="Quad",25,"")))</f>
        <v/>
      </c>
      <c r="H1011" s="19">
        <f>IFERROR(IF(F1011*G1011=0,0,F1011*G1011),0)</f>
        <v/>
      </c>
      <c r="I1011" s="20" t="n"/>
      <c r="J1011" s="57" t="n"/>
      <c r="K1011" s="14" t="n"/>
      <c r="L1011" s="22" t="n"/>
      <c r="M1011" s="58" t="n"/>
      <c r="N1011" s="22" t="n"/>
      <c r="O1011" s="24">
        <f>IFERROR(IF(OR(M1011="",M1011=0),0,H1011*VALUE(SUBSTITUTE(M1011&amp;"","$",""))),0)</f>
        <v/>
      </c>
    </row>
    <row r="1012" hidden="1" outlineLevel="1" ht="16" customHeight="1">
      <c r="A1012" s="13" t="n"/>
      <c r="B1012" s="25" t="n"/>
      <c r="C1012" s="26" t="n"/>
      <c r="D1012" s="56" t="n"/>
      <c r="E1012" s="56" t="n"/>
      <c r="F1012" s="27" t="n"/>
      <c r="G1012" s="18">
        <f>IF(D1012="Tandem",10,IF(D1012="TT",22,IF(D1012="Quad",25,"")))</f>
        <v/>
      </c>
      <c r="H1012" s="28">
        <f>IFERROR(IF(F1012*G1012=0,0,F1012*G1012),0)</f>
        <v/>
      </c>
      <c r="I1012" s="29" t="n"/>
      <c r="J1012" s="57" t="n"/>
      <c r="K1012" s="25" t="n"/>
      <c r="L1012" s="30" t="n"/>
      <c r="M1012" s="58" t="n"/>
      <c r="N1012" s="30" t="n"/>
      <c r="O1012" s="24">
        <f>IFERROR(IF(OR(M1012="",M1012=0),0,H1012*VALUE(SUBSTITUTE(M1012&amp;"","$",""))),0)</f>
        <v/>
      </c>
    </row>
    <row r="1013" hidden="1" outlineLevel="1" ht="16" customHeight="1">
      <c r="A1013" s="13" t="n"/>
      <c r="B1013" s="14" t="n"/>
      <c r="C1013" s="15" t="n"/>
      <c r="D1013" s="56" t="n"/>
      <c r="E1013" s="56" t="n"/>
      <c r="F1013" s="17" t="n"/>
      <c r="G1013" s="18">
        <f>IF(D1013="Tandem",10,IF(D1013="TT",22,IF(D1013="Quad",25,"")))</f>
        <v/>
      </c>
      <c r="H1013" s="19">
        <f>IFERROR(IF(F1013*G1013=0,0,F1013*G1013),0)</f>
        <v/>
      </c>
      <c r="I1013" s="20" t="n"/>
      <c r="J1013" s="57" t="n"/>
      <c r="K1013" s="14" t="n"/>
      <c r="L1013" s="22" t="n"/>
      <c r="M1013" s="58" t="n"/>
      <c r="N1013" s="22" t="n"/>
      <c r="O1013" s="24">
        <f>IFERROR(IF(OR(M1013="",M1013=0),0,H1013*VALUE(SUBSTITUTE(M1013&amp;"","$",""))),0)</f>
        <v/>
      </c>
    </row>
    <row r="1014" hidden="1" outlineLevel="1" ht="16" customHeight="1">
      <c r="A1014" s="13" t="n"/>
      <c r="B1014" s="25" t="n"/>
      <c r="C1014" s="26" t="n"/>
      <c r="D1014" s="56" t="n"/>
      <c r="E1014" s="56" t="n"/>
      <c r="F1014" s="27" t="n"/>
      <c r="G1014" s="18">
        <f>IF(D1014="Tandem",10,IF(D1014="TT",22,IF(D1014="Quad",25,"")))</f>
        <v/>
      </c>
      <c r="H1014" s="28">
        <f>IFERROR(IF(F1014*G1014=0,0,F1014*G1014),0)</f>
        <v/>
      </c>
      <c r="I1014" s="29" t="n"/>
      <c r="J1014" s="57" t="n"/>
      <c r="K1014" s="25" t="n"/>
      <c r="L1014" s="30" t="n"/>
      <c r="M1014" s="58" t="n"/>
      <c r="N1014" s="30" t="n"/>
      <c r="O1014" s="24">
        <f>IFERROR(IF(OR(M1014="",M1014=0),0,H1014*VALUE(SUBSTITUTE(M1014&amp;"","$",""))),0)</f>
        <v/>
      </c>
    </row>
    <row r="1015" hidden="1" outlineLevel="1" ht="16" customHeight="1">
      <c r="A1015" s="13" t="n"/>
      <c r="B1015" s="14" t="n"/>
      <c r="C1015" s="15" t="n"/>
      <c r="D1015" s="56" t="n"/>
      <c r="E1015" s="56" t="n"/>
      <c r="F1015" s="17" t="n"/>
      <c r="G1015" s="18">
        <f>IF(D1015="Tandem",10,IF(D1015="TT",22,IF(D1015="Quad",25,"")))</f>
        <v/>
      </c>
      <c r="H1015" s="19">
        <f>IFERROR(IF(F1015*G1015=0,0,F1015*G1015),0)</f>
        <v/>
      </c>
      <c r="I1015" s="20" t="n"/>
      <c r="J1015" s="57" t="n"/>
      <c r="K1015" s="14" t="n"/>
      <c r="L1015" s="22" t="n"/>
      <c r="M1015" s="58" t="n"/>
      <c r="N1015" s="22" t="n"/>
      <c r="O1015" s="24">
        <f>IFERROR(IF(OR(M1015="",M1015=0),0,H1015*VALUE(SUBSTITUTE(M1015&amp;"","$",""))),0)</f>
        <v/>
      </c>
    </row>
    <row r="1016" hidden="1" outlineLevel="1" ht="16" customHeight="1">
      <c r="A1016" s="13" t="n"/>
      <c r="B1016" s="25" t="n"/>
      <c r="C1016" s="26" t="n"/>
      <c r="D1016" s="56" t="n"/>
      <c r="E1016" s="56" t="n"/>
      <c r="F1016" s="27" t="n"/>
      <c r="G1016" s="18">
        <f>IF(D1016="Tandem",10,IF(D1016="TT",22,IF(D1016="Quad",25,"")))</f>
        <v/>
      </c>
      <c r="H1016" s="28">
        <f>IFERROR(IF(F1016*G1016=0,0,F1016*G1016),0)</f>
        <v/>
      </c>
      <c r="I1016" s="29" t="n"/>
      <c r="J1016" s="57" t="n"/>
      <c r="K1016" s="25" t="n"/>
      <c r="L1016" s="30" t="n"/>
      <c r="M1016" s="58" t="n"/>
      <c r="N1016" s="30" t="n"/>
      <c r="O1016" s="24">
        <f>IFERROR(IF(OR(M1016="",M1016=0),0,H1016*VALUE(SUBSTITUTE(M1016&amp;"","$",""))),0)</f>
        <v/>
      </c>
    </row>
    <row r="1017" hidden="1" outlineLevel="1" ht="16" customHeight="1">
      <c r="A1017" s="13" t="n"/>
      <c r="B1017" s="14" t="n"/>
      <c r="C1017" s="15" t="n"/>
      <c r="D1017" s="56" t="n"/>
      <c r="E1017" s="56" t="n"/>
      <c r="F1017" s="17" t="n"/>
      <c r="G1017" s="18">
        <f>IF(D1017="Tandem",10,IF(D1017="TT",22,IF(D1017="Quad",25,"")))</f>
        <v/>
      </c>
      <c r="H1017" s="19">
        <f>IFERROR(IF(F1017*G1017=0,0,F1017*G1017),0)</f>
        <v/>
      </c>
      <c r="I1017" s="20" t="n"/>
      <c r="J1017" s="57" t="n"/>
      <c r="K1017" s="14" t="n"/>
      <c r="L1017" s="22" t="n"/>
      <c r="M1017" s="58" t="n"/>
      <c r="N1017" s="22" t="n"/>
      <c r="O1017" s="24">
        <f>IFERROR(IF(OR(M1017="",M1017=0),0,H1017*VALUE(SUBSTITUTE(M1017&amp;"","$",""))),0)</f>
        <v/>
      </c>
    </row>
    <row r="1018" hidden="1" outlineLevel="1" ht="16" customHeight="1">
      <c r="A1018" s="13" t="n"/>
      <c r="B1018" s="25" t="n"/>
      <c r="C1018" s="26" t="n"/>
      <c r="D1018" s="56" t="n"/>
      <c r="E1018" s="56" t="n"/>
      <c r="F1018" s="27" t="n"/>
      <c r="G1018" s="18">
        <f>IF(D1018="Tandem",10,IF(D1018="TT",22,IF(D1018="Quad",25,"")))</f>
        <v/>
      </c>
      <c r="H1018" s="28">
        <f>IFERROR(IF(F1018*G1018=0,0,F1018*G1018),0)</f>
        <v/>
      </c>
      <c r="I1018" s="29" t="n"/>
      <c r="J1018" s="57" t="n"/>
      <c r="K1018" s="25" t="n"/>
      <c r="L1018" s="30" t="n"/>
      <c r="M1018" s="58" t="n"/>
      <c r="N1018" s="30" t="n"/>
      <c r="O1018" s="24">
        <f>IFERROR(IF(OR(M1018="",M1018=0),0,H1018*VALUE(SUBSTITUTE(M1018&amp;"","$",""))),0)</f>
        <v/>
      </c>
    </row>
    <row r="1019" hidden="1" outlineLevel="1" ht="16" customHeight="1">
      <c r="A1019" s="13" t="n"/>
      <c r="B1019" s="14" t="n"/>
      <c r="C1019" s="15" t="n"/>
      <c r="D1019" s="56" t="n"/>
      <c r="E1019" s="56" t="n"/>
      <c r="F1019" s="17" t="n"/>
      <c r="G1019" s="18">
        <f>IF(D1019="Tandem",10,IF(D1019="TT",22,IF(D1019="Quad",25,"")))</f>
        <v/>
      </c>
      <c r="H1019" s="19">
        <f>IFERROR(IF(F1019*G1019=0,0,F1019*G1019),0)</f>
        <v/>
      </c>
      <c r="I1019" s="20" t="n"/>
      <c r="J1019" s="57" t="n"/>
      <c r="K1019" s="14" t="n"/>
      <c r="L1019" s="22" t="n"/>
      <c r="M1019" s="58" t="n"/>
      <c r="N1019" s="22" t="n"/>
      <c r="O1019" s="24">
        <f>IFERROR(IF(OR(M1019="",M1019=0),0,H1019*VALUE(SUBSTITUTE(M1019&amp;"","$",""))),0)</f>
        <v/>
      </c>
    </row>
    <row r="1020" hidden="1" outlineLevel="1" ht="16" customHeight="1">
      <c r="A1020" s="13" t="n"/>
      <c r="B1020" s="25" t="n"/>
      <c r="C1020" s="26" t="n"/>
      <c r="D1020" s="56" t="n"/>
      <c r="E1020" s="56" t="n"/>
      <c r="F1020" s="27" t="n"/>
      <c r="G1020" s="18">
        <f>IF(D1020="Tandem",10,IF(D1020="TT",22,IF(D1020="Quad",25,"")))</f>
        <v/>
      </c>
      <c r="H1020" s="28">
        <f>IFERROR(IF(F1020*G1020=0,0,F1020*G1020),0)</f>
        <v/>
      </c>
      <c r="I1020" s="29" t="n"/>
      <c r="J1020" s="57" t="n"/>
      <c r="K1020" s="25" t="n"/>
      <c r="L1020" s="30" t="n"/>
      <c r="M1020" s="58" t="n"/>
      <c r="N1020" s="30" t="n"/>
      <c r="O1020" s="24">
        <f>IFERROR(IF(OR(M1020="",M1020=0),0,H1020*VALUE(SUBSTITUTE(M1020&amp;"","$",""))),0)</f>
        <v/>
      </c>
    </row>
    <row r="1021" hidden="1" outlineLevel="1" ht="20" customHeight="1">
      <c r="A1021" s="59" t="inlineStr">
        <is>
          <t>Daily Notes:</t>
        </is>
      </c>
      <c r="B1021" s="54" t="n"/>
      <c r="C1021" s="54" t="n"/>
      <c r="D1021" s="54" t="n"/>
      <c r="E1021" s="54" t="n"/>
      <c r="F1021" s="54" t="n"/>
      <c r="G1021" s="54" t="n"/>
      <c r="H1021" s="54" t="n"/>
      <c r="I1021" s="54" t="n"/>
      <c r="J1021" s="54" t="n"/>
      <c r="K1021" s="54" t="n"/>
      <c r="L1021" s="54" t="n"/>
      <c r="M1021" s="54" t="n"/>
      <c r="N1021" s="50" t="n"/>
      <c r="O1021" s="60" t="n"/>
    </row>
    <row r="1022" hidden="1" outlineLevel="1" ht="18" customHeight="1">
      <c r="A1022" s="32" t="inlineStr">
        <is>
          <t>DAILY TOTAL</t>
        </is>
      </c>
      <c r="B1022" s="54" t="n"/>
      <c r="C1022" s="54" t="n"/>
      <c r="D1022" s="54" t="n"/>
      <c r="E1022" s="54" t="n"/>
      <c r="F1022" s="54" t="n"/>
      <c r="G1022" s="50" t="n"/>
      <c r="H1022" s="34">
        <f>SUM(H991:H1020)</f>
        <v/>
      </c>
      <c r="I1022" s="35">
        <f>SUM(I991:I1020)</f>
        <v/>
      </c>
      <c r="J1022" s="61" t="n"/>
      <c r="K1022" s="61" t="n"/>
      <c r="L1022" s="61" t="n"/>
      <c r="M1022" s="36">
        <f>SUM(O991:O1020)</f>
        <v/>
      </c>
      <c r="N1022" s="61" t="n"/>
      <c r="O1022" s="62" t="n"/>
    </row>
    <row r="1023" hidden="1" outlineLevel="1" ht="18" customHeight="1">
      <c r="A1023" s="2" t="inlineStr">
        <is>
          <t>▶ RUNNING TOTAL</t>
        </is>
      </c>
      <c r="B1023" s="54" t="n"/>
      <c r="C1023" s="54" t="n"/>
      <c r="D1023" s="54" t="n"/>
      <c r="E1023" s="54" t="n"/>
      <c r="F1023" s="54" t="n"/>
      <c r="G1023" s="50" t="n"/>
      <c r="H1023" s="37">
        <f>H50+H86+H122+H158+H194+H230+H266+H302+H338+H374+H410+H446+H482+H518+H554+H590+H626+H662+H698+H734+H770+H806+H842+H878+H914+H950+H986+H1022</f>
        <v/>
      </c>
      <c r="I1023" s="63" t="n"/>
      <c r="J1023" s="63" t="n"/>
      <c r="K1023" s="63" t="n"/>
      <c r="L1023" s="63" t="n"/>
      <c r="M1023" s="38">
        <f>M50+M86+M122+M158+M194+M230+M266+M302+M338+M374+M410+M446+M482+M518+M554+M590+M626+M662+M698+M734+M770+M806+M842+M878+M914+M950+M986+M1022</f>
        <v/>
      </c>
      <c r="N1023" s="63" t="n"/>
      <c r="O1023" s="64" t="n"/>
    </row>
    <row r="1024" hidden="1" outlineLevel="1" ht="8" customHeight="1"/>
    <row r="1025" ht="22" customHeight="1">
      <c r="A1025" s="55" t="inlineStr">
        <is>
          <t>DAY 29</t>
        </is>
      </c>
      <c r="B1025" s="54" t="n"/>
      <c r="C1025" s="54" t="n"/>
      <c r="D1025" s="54" t="n"/>
      <c r="E1025" s="54" t="n"/>
      <c r="F1025" s="54" t="n"/>
      <c r="G1025" s="54" t="n"/>
      <c r="H1025" s="54" t="n"/>
      <c r="I1025" s="54" t="n"/>
      <c r="J1025" s="54" t="n"/>
      <c r="K1025" s="54" t="n"/>
      <c r="L1025" s="54" t="n"/>
      <c r="M1025" s="54" t="n"/>
      <c r="N1025" s="50" t="n"/>
    </row>
    <row r="1026" hidden="1" outlineLevel="1" ht="28" customHeight="1">
      <c r="A1026" s="12" t="inlineStr">
        <is>
          <t>Date</t>
        </is>
      </c>
      <c r="B1026" s="12" t="inlineStr">
        <is>
          <t>Cartage Company</t>
        </is>
      </c>
      <c r="C1026" s="12" t="inlineStr">
        <is>
          <t>Truck Rego</t>
        </is>
      </c>
      <c r="D1026" s="12" t="inlineStr">
        <is>
          <t>Truck Type</t>
        </is>
      </c>
      <c r="E1026" s="12" t="inlineStr">
        <is>
          <t>Exp / Imp</t>
        </is>
      </c>
      <c r="F1026" s="12" t="inlineStr">
        <is>
          <t>Loads</t>
        </is>
      </c>
      <c r="G1026" s="12" t="inlineStr">
        <is>
          <t>m³ / Load</t>
        </is>
      </c>
      <c r="H1026" s="12" t="inlineStr">
        <is>
          <t>Total m³</t>
        </is>
      </c>
      <c r="I1026" s="12" t="inlineStr">
        <is>
          <t>Hours</t>
        </is>
      </c>
      <c r="J1026" s="12" t="inlineStr">
        <is>
          <t>Material</t>
        </is>
      </c>
      <c r="K1026" s="12" t="inlineStr">
        <is>
          <t>Tip Site</t>
        </is>
      </c>
      <c r="L1026" s="12" t="inlineStr">
        <is>
          <t>Docket #</t>
        </is>
      </c>
      <c r="M1026" s="12" t="inlineStr">
        <is>
          <t>Rate Paid ($/m³)</t>
        </is>
      </c>
      <c r="N1026" s="12" t="inlineStr">
        <is>
          <t>Invoice #</t>
        </is>
      </c>
    </row>
    <row r="1027" hidden="1" outlineLevel="1" ht="16" customHeight="1">
      <c r="A1027" s="13" t="n"/>
      <c r="B1027" s="14" t="n"/>
      <c r="C1027" s="15" t="n"/>
      <c r="D1027" s="56" t="n"/>
      <c r="E1027" s="56" t="n"/>
      <c r="F1027" s="17" t="n"/>
      <c r="G1027" s="18">
        <f>IF(D1027="Tandem",10,IF(D1027="TT",22,IF(D1027="Quad",25,"")))</f>
        <v/>
      </c>
      <c r="H1027" s="19">
        <f>IFERROR(IF(F1027*G1027=0,0,F1027*G1027),0)</f>
        <v/>
      </c>
      <c r="I1027" s="20" t="n"/>
      <c r="J1027" s="57" t="n"/>
      <c r="K1027" s="14" t="n"/>
      <c r="L1027" s="22" t="n"/>
      <c r="M1027" s="58" t="n"/>
      <c r="N1027" s="22" t="n"/>
      <c r="O1027" s="24">
        <f>IFERROR(IF(OR(M1027="",M1027=0),0,H1027*VALUE(SUBSTITUTE(M1027&amp;"","$",""))),0)</f>
        <v/>
      </c>
    </row>
    <row r="1028" hidden="1" outlineLevel="1" ht="16" customHeight="1">
      <c r="A1028" s="13" t="n"/>
      <c r="B1028" s="25" t="n"/>
      <c r="C1028" s="26" t="n"/>
      <c r="D1028" s="56" t="n"/>
      <c r="E1028" s="56" t="n"/>
      <c r="F1028" s="27" t="n"/>
      <c r="G1028" s="18">
        <f>IF(D1028="Tandem",10,IF(D1028="TT",22,IF(D1028="Quad",25,"")))</f>
        <v/>
      </c>
      <c r="H1028" s="28">
        <f>IFERROR(IF(F1028*G1028=0,0,F1028*G1028),0)</f>
        <v/>
      </c>
      <c r="I1028" s="29" t="n"/>
      <c r="J1028" s="57" t="n"/>
      <c r="K1028" s="25" t="n"/>
      <c r="L1028" s="30" t="n"/>
      <c r="M1028" s="58" t="n"/>
      <c r="N1028" s="30" t="n"/>
      <c r="O1028" s="24">
        <f>IFERROR(IF(OR(M1028="",M1028=0),0,H1028*VALUE(SUBSTITUTE(M1028&amp;"","$",""))),0)</f>
        <v/>
      </c>
    </row>
    <row r="1029" hidden="1" outlineLevel="1" ht="16" customHeight="1">
      <c r="A1029" s="13" t="n"/>
      <c r="B1029" s="14" t="n"/>
      <c r="C1029" s="15" t="n"/>
      <c r="D1029" s="56" t="n"/>
      <c r="E1029" s="56" t="n"/>
      <c r="F1029" s="17" t="n"/>
      <c r="G1029" s="18">
        <f>IF(D1029="Tandem",10,IF(D1029="TT",22,IF(D1029="Quad",25,"")))</f>
        <v/>
      </c>
      <c r="H1029" s="19">
        <f>IFERROR(IF(F1029*G1029=0,0,F1029*G1029),0)</f>
        <v/>
      </c>
      <c r="I1029" s="20" t="n"/>
      <c r="J1029" s="57" t="n"/>
      <c r="K1029" s="14" t="n"/>
      <c r="L1029" s="22" t="n"/>
      <c r="M1029" s="58" t="n"/>
      <c r="N1029" s="22" t="n"/>
      <c r="O1029" s="24">
        <f>IFERROR(IF(OR(M1029="",M1029=0),0,H1029*VALUE(SUBSTITUTE(M1029&amp;"","$",""))),0)</f>
        <v/>
      </c>
    </row>
    <row r="1030" hidden="1" outlineLevel="1" ht="16" customHeight="1">
      <c r="A1030" s="13" t="n"/>
      <c r="B1030" s="25" t="n"/>
      <c r="C1030" s="26" t="n"/>
      <c r="D1030" s="56" t="n"/>
      <c r="E1030" s="56" t="n"/>
      <c r="F1030" s="27" t="n"/>
      <c r="G1030" s="18">
        <f>IF(D1030="Tandem",10,IF(D1030="TT",22,IF(D1030="Quad",25,"")))</f>
        <v/>
      </c>
      <c r="H1030" s="28">
        <f>IFERROR(IF(F1030*G1030=0,0,F1030*G1030),0)</f>
        <v/>
      </c>
      <c r="I1030" s="29" t="n"/>
      <c r="J1030" s="57" t="n"/>
      <c r="K1030" s="25" t="n"/>
      <c r="L1030" s="30" t="n"/>
      <c r="M1030" s="58" t="n"/>
      <c r="N1030" s="30" t="n"/>
      <c r="O1030" s="24">
        <f>IFERROR(IF(OR(M1030="",M1030=0),0,H1030*VALUE(SUBSTITUTE(M1030&amp;"","$",""))),0)</f>
        <v/>
      </c>
    </row>
    <row r="1031" hidden="1" outlineLevel="1" ht="16" customHeight="1">
      <c r="A1031" s="13" t="n"/>
      <c r="B1031" s="14" t="n"/>
      <c r="C1031" s="15" t="n"/>
      <c r="D1031" s="56" t="n"/>
      <c r="E1031" s="56" t="n"/>
      <c r="F1031" s="17" t="n"/>
      <c r="G1031" s="18">
        <f>IF(D1031="Tandem",10,IF(D1031="TT",22,IF(D1031="Quad",25,"")))</f>
        <v/>
      </c>
      <c r="H1031" s="19">
        <f>IFERROR(IF(F1031*G1031=0,0,F1031*G1031),0)</f>
        <v/>
      </c>
      <c r="I1031" s="20" t="n"/>
      <c r="J1031" s="57" t="n"/>
      <c r="K1031" s="14" t="n"/>
      <c r="L1031" s="22" t="n"/>
      <c r="M1031" s="58" t="n"/>
      <c r="N1031" s="22" t="n"/>
      <c r="O1031" s="24">
        <f>IFERROR(IF(OR(M1031="",M1031=0),0,H1031*VALUE(SUBSTITUTE(M1031&amp;"","$",""))),0)</f>
        <v/>
      </c>
    </row>
    <row r="1032" hidden="1" outlineLevel="1" ht="16" customHeight="1">
      <c r="A1032" s="13" t="n"/>
      <c r="B1032" s="25" t="n"/>
      <c r="C1032" s="26" t="n"/>
      <c r="D1032" s="56" t="n"/>
      <c r="E1032" s="56" t="n"/>
      <c r="F1032" s="27" t="n"/>
      <c r="G1032" s="18">
        <f>IF(D1032="Tandem",10,IF(D1032="TT",22,IF(D1032="Quad",25,"")))</f>
        <v/>
      </c>
      <c r="H1032" s="28">
        <f>IFERROR(IF(F1032*G1032=0,0,F1032*G1032),0)</f>
        <v/>
      </c>
      <c r="I1032" s="29" t="n"/>
      <c r="J1032" s="57" t="n"/>
      <c r="K1032" s="25" t="n"/>
      <c r="L1032" s="30" t="n"/>
      <c r="M1032" s="58" t="n"/>
      <c r="N1032" s="30" t="n"/>
      <c r="O1032" s="24">
        <f>IFERROR(IF(OR(M1032="",M1032=0),0,H1032*VALUE(SUBSTITUTE(M1032&amp;"","$",""))),0)</f>
        <v/>
      </c>
    </row>
    <row r="1033" hidden="1" outlineLevel="1" ht="16" customHeight="1">
      <c r="A1033" s="13" t="n"/>
      <c r="B1033" s="14" t="n"/>
      <c r="C1033" s="15" t="n"/>
      <c r="D1033" s="56" t="n"/>
      <c r="E1033" s="56" t="n"/>
      <c r="F1033" s="17" t="n"/>
      <c r="G1033" s="18">
        <f>IF(D1033="Tandem",10,IF(D1033="TT",22,IF(D1033="Quad",25,"")))</f>
        <v/>
      </c>
      <c r="H1033" s="19">
        <f>IFERROR(IF(F1033*G1033=0,0,F1033*G1033),0)</f>
        <v/>
      </c>
      <c r="I1033" s="20" t="n"/>
      <c r="J1033" s="57" t="n"/>
      <c r="K1033" s="14" t="n"/>
      <c r="L1033" s="22" t="n"/>
      <c r="M1033" s="58" t="n"/>
      <c r="N1033" s="22" t="n"/>
      <c r="O1033" s="24">
        <f>IFERROR(IF(OR(M1033="",M1033=0),0,H1033*VALUE(SUBSTITUTE(M1033&amp;"","$",""))),0)</f>
        <v/>
      </c>
    </row>
    <row r="1034" hidden="1" outlineLevel="1" ht="16" customHeight="1">
      <c r="A1034" s="13" t="n"/>
      <c r="B1034" s="25" t="n"/>
      <c r="C1034" s="26" t="n"/>
      <c r="D1034" s="56" t="n"/>
      <c r="E1034" s="56" t="n"/>
      <c r="F1034" s="27" t="n"/>
      <c r="G1034" s="18">
        <f>IF(D1034="Tandem",10,IF(D1034="TT",22,IF(D1034="Quad",25,"")))</f>
        <v/>
      </c>
      <c r="H1034" s="28">
        <f>IFERROR(IF(F1034*G1034=0,0,F1034*G1034),0)</f>
        <v/>
      </c>
      <c r="I1034" s="29" t="n"/>
      <c r="J1034" s="57" t="n"/>
      <c r="K1034" s="25" t="n"/>
      <c r="L1034" s="30" t="n"/>
      <c r="M1034" s="58" t="n"/>
      <c r="N1034" s="30" t="n"/>
      <c r="O1034" s="24">
        <f>IFERROR(IF(OR(M1034="",M1034=0),0,H1034*VALUE(SUBSTITUTE(M1034&amp;"","$",""))),0)</f>
        <v/>
      </c>
    </row>
    <row r="1035" hidden="1" outlineLevel="1" ht="16" customHeight="1">
      <c r="A1035" s="13" t="n"/>
      <c r="B1035" s="14" t="n"/>
      <c r="C1035" s="15" t="n"/>
      <c r="D1035" s="56" t="n"/>
      <c r="E1035" s="56" t="n"/>
      <c r="F1035" s="17" t="n"/>
      <c r="G1035" s="18">
        <f>IF(D1035="Tandem",10,IF(D1035="TT",22,IF(D1035="Quad",25,"")))</f>
        <v/>
      </c>
      <c r="H1035" s="19">
        <f>IFERROR(IF(F1035*G1035=0,0,F1035*G1035),0)</f>
        <v/>
      </c>
      <c r="I1035" s="20" t="n"/>
      <c r="J1035" s="57" t="n"/>
      <c r="K1035" s="14" t="n"/>
      <c r="L1035" s="22" t="n"/>
      <c r="M1035" s="58" t="n"/>
      <c r="N1035" s="22" t="n"/>
      <c r="O1035" s="24">
        <f>IFERROR(IF(OR(M1035="",M1035=0),0,H1035*VALUE(SUBSTITUTE(M1035&amp;"","$",""))),0)</f>
        <v/>
      </c>
    </row>
    <row r="1036" hidden="1" outlineLevel="1" ht="16" customHeight="1">
      <c r="A1036" s="13" t="n"/>
      <c r="B1036" s="25" t="n"/>
      <c r="C1036" s="26" t="n"/>
      <c r="D1036" s="56" t="n"/>
      <c r="E1036" s="56" t="n"/>
      <c r="F1036" s="27" t="n"/>
      <c r="G1036" s="18">
        <f>IF(D1036="Tandem",10,IF(D1036="TT",22,IF(D1036="Quad",25,"")))</f>
        <v/>
      </c>
      <c r="H1036" s="28">
        <f>IFERROR(IF(F1036*G1036=0,0,F1036*G1036),0)</f>
        <v/>
      </c>
      <c r="I1036" s="29" t="n"/>
      <c r="J1036" s="57" t="n"/>
      <c r="K1036" s="25" t="n"/>
      <c r="L1036" s="30" t="n"/>
      <c r="M1036" s="58" t="n"/>
      <c r="N1036" s="30" t="n"/>
      <c r="O1036" s="24">
        <f>IFERROR(IF(OR(M1036="",M1036=0),0,H1036*VALUE(SUBSTITUTE(M1036&amp;"","$",""))),0)</f>
        <v/>
      </c>
    </row>
    <row r="1037" hidden="1" outlineLevel="1" ht="16" customHeight="1">
      <c r="A1037" s="13" t="n"/>
      <c r="B1037" s="14" t="n"/>
      <c r="C1037" s="15" t="n"/>
      <c r="D1037" s="56" t="n"/>
      <c r="E1037" s="56" t="n"/>
      <c r="F1037" s="17" t="n"/>
      <c r="G1037" s="18">
        <f>IF(D1037="Tandem",10,IF(D1037="TT",22,IF(D1037="Quad",25,"")))</f>
        <v/>
      </c>
      <c r="H1037" s="19">
        <f>IFERROR(IF(F1037*G1037=0,0,F1037*G1037),0)</f>
        <v/>
      </c>
      <c r="I1037" s="20" t="n"/>
      <c r="J1037" s="57" t="n"/>
      <c r="K1037" s="14" t="n"/>
      <c r="L1037" s="22" t="n"/>
      <c r="M1037" s="58" t="n"/>
      <c r="N1037" s="22" t="n"/>
      <c r="O1037" s="24">
        <f>IFERROR(IF(OR(M1037="",M1037=0),0,H1037*VALUE(SUBSTITUTE(M1037&amp;"","$",""))),0)</f>
        <v/>
      </c>
    </row>
    <row r="1038" hidden="1" outlineLevel="1" ht="16" customHeight="1">
      <c r="A1038" s="13" t="n"/>
      <c r="B1038" s="25" t="n"/>
      <c r="C1038" s="26" t="n"/>
      <c r="D1038" s="56" t="n"/>
      <c r="E1038" s="56" t="n"/>
      <c r="F1038" s="27" t="n"/>
      <c r="G1038" s="18">
        <f>IF(D1038="Tandem",10,IF(D1038="TT",22,IF(D1038="Quad",25,"")))</f>
        <v/>
      </c>
      <c r="H1038" s="28">
        <f>IFERROR(IF(F1038*G1038=0,0,F1038*G1038),0)</f>
        <v/>
      </c>
      <c r="I1038" s="29" t="n"/>
      <c r="J1038" s="57" t="n"/>
      <c r="K1038" s="25" t="n"/>
      <c r="L1038" s="30" t="n"/>
      <c r="M1038" s="58" t="n"/>
      <c r="N1038" s="30" t="n"/>
      <c r="O1038" s="24">
        <f>IFERROR(IF(OR(M1038="",M1038=0),0,H1038*VALUE(SUBSTITUTE(M1038&amp;"","$",""))),0)</f>
        <v/>
      </c>
    </row>
    <row r="1039" hidden="1" outlineLevel="1" ht="16" customHeight="1">
      <c r="A1039" s="13" t="n"/>
      <c r="B1039" s="14" t="n"/>
      <c r="C1039" s="15" t="n"/>
      <c r="D1039" s="56" t="n"/>
      <c r="E1039" s="56" t="n"/>
      <c r="F1039" s="17" t="n"/>
      <c r="G1039" s="18">
        <f>IF(D1039="Tandem",10,IF(D1039="TT",22,IF(D1039="Quad",25,"")))</f>
        <v/>
      </c>
      <c r="H1039" s="19">
        <f>IFERROR(IF(F1039*G1039=0,0,F1039*G1039),0)</f>
        <v/>
      </c>
      <c r="I1039" s="20" t="n"/>
      <c r="J1039" s="57" t="n"/>
      <c r="K1039" s="14" t="n"/>
      <c r="L1039" s="22" t="n"/>
      <c r="M1039" s="58" t="n"/>
      <c r="N1039" s="22" t="n"/>
      <c r="O1039" s="24">
        <f>IFERROR(IF(OR(M1039="",M1039=0),0,H1039*VALUE(SUBSTITUTE(M1039&amp;"","$",""))),0)</f>
        <v/>
      </c>
    </row>
    <row r="1040" hidden="1" outlineLevel="1" ht="16" customHeight="1">
      <c r="A1040" s="13" t="n"/>
      <c r="B1040" s="25" t="n"/>
      <c r="C1040" s="26" t="n"/>
      <c r="D1040" s="56" t="n"/>
      <c r="E1040" s="56" t="n"/>
      <c r="F1040" s="27" t="n"/>
      <c r="G1040" s="18">
        <f>IF(D1040="Tandem",10,IF(D1040="TT",22,IF(D1040="Quad",25,"")))</f>
        <v/>
      </c>
      <c r="H1040" s="28">
        <f>IFERROR(IF(F1040*G1040=0,0,F1040*G1040),0)</f>
        <v/>
      </c>
      <c r="I1040" s="29" t="n"/>
      <c r="J1040" s="57" t="n"/>
      <c r="K1040" s="25" t="n"/>
      <c r="L1040" s="30" t="n"/>
      <c r="M1040" s="58" t="n"/>
      <c r="N1040" s="30" t="n"/>
      <c r="O1040" s="24">
        <f>IFERROR(IF(OR(M1040="",M1040=0),0,H1040*VALUE(SUBSTITUTE(M1040&amp;"","$",""))),0)</f>
        <v/>
      </c>
    </row>
    <row r="1041" hidden="1" outlineLevel="1" ht="16" customHeight="1">
      <c r="A1041" s="13" t="n"/>
      <c r="B1041" s="14" t="n"/>
      <c r="C1041" s="15" t="n"/>
      <c r="D1041" s="56" t="n"/>
      <c r="E1041" s="56" t="n"/>
      <c r="F1041" s="17" t="n"/>
      <c r="G1041" s="18">
        <f>IF(D1041="Tandem",10,IF(D1041="TT",22,IF(D1041="Quad",25,"")))</f>
        <v/>
      </c>
      <c r="H1041" s="19">
        <f>IFERROR(IF(F1041*G1041=0,0,F1041*G1041),0)</f>
        <v/>
      </c>
      <c r="I1041" s="20" t="n"/>
      <c r="J1041" s="57" t="n"/>
      <c r="K1041" s="14" t="n"/>
      <c r="L1041" s="22" t="n"/>
      <c r="M1041" s="58" t="n"/>
      <c r="N1041" s="22" t="n"/>
      <c r="O1041" s="24">
        <f>IFERROR(IF(OR(M1041="",M1041=0),0,H1041*VALUE(SUBSTITUTE(M1041&amp;"","$",""))),0)</f>
        <v/>
      </c>
    </row>
    <row r="1042" hidden="1" outlineLevel="1" ht="16" customHeight="1">
      <c r="A1042" s="13" t="n"/>
      <c r="B1042" s="25" t="n"/>
      <c r="C1042" s="26" t="n"/>
      <c r="D1042" s="56" t="n"/>
      <c r="E1042" s="56" t="n"/>
      <c r="F1042" s="27" t="n"/>
      <c r="G1042" s="18">
        <f>IF(D1042="Tandem",10,IF(D1042="TT",22,IF(D1042="Quad",25,"")))</f>
        <v/>
      </c>
      <c r="H1042" s="28">
        <f>IFERROR(IF(F1042*G1042=0,0,F1042*G1042),0)</f>
        <v/>
      </c>
      <c r="I1042" s="29" t="n"/>
      <c r="J1042" s="57" t="n"/>
      <c r="K1042" s="25" t="n"/>
      <c r="L1042" s="30" t="n"/>
      <c r="M1042" s="58" t="n"/>
      <c r="N1042" s="30" t="n"/>
      <c r="O1042" s="24">
        <f>IFERROR(IF(OR(M1042="",M1042=0),0,H1042*VALUE(SUBSTITUTE(M1042&amp;"","$",""))),0)</f>
        <v/>
      </c>
    </row>
    <row r="1043" hidden="1" outlineLevel="1" ht="16" customHeight="1">
      <c r="A1043" s="13" t="n"/>
      <c r="B1043" s="14" t="n"/>
      <c r="C1043" s="15" t="n"/>
      <c r="D1043" s="56" t="n"/>
      <c r="E1043" s="56" t="n"/>
      <c r="F1043" s="17" t="n"/>
      <c r="G1043" s="18">
        <f>IF(D1043="Tandem",10,IF(D1043="TT",22,IF(D1043="Quad",25,"")))</f>
        <v/>
      </c>
      <c r="H1043" s="19">
        <f>IFERROR(IF(F1043*G1043=0,0,F1043*G1043),0)</f>
        <v/>
      </c>
      <c r="I1043" s="20" t="n"/>
      <c r="J1043" s="57" t="n"/>
      <c r="K1043" s="14" t="n"/>
      <c r="L1043" s="22" t="n"/>
      <c r="M1043" s="58" t="n"/>
      <c r="N1043" s="22" t="n"/>
      <c r="O1043" s="24">
        <f>IFERROR(IF(OR(M1043="",M1043=0),0,H1043*VALUE(SUBSTITUTE(M1043&amp;"","$",""))),0)</f>
        <v/>
      </c>
    </row>
    <row r="1044" hidden="1" outlineLevel="1" ht="16" customHeight="1">
      <c r="A1044" s="13" t="n"/>
      <c r="B1044" s="25" t="n"/>
      <c r="C1044" s="26" t="n"/>
      <c r="D1044" s="56" t="n"/>
      <c r="E1044" s="56" t="n"/>
      <c r="F1044" s="27" t="n"/>
      <c r="G1044" s="18">
        <f>IF(D1044="Tandem",10,IF(D1044="TT",22,IF(D1044="Quad",25,"")))</f>
        <v/>
      </c>
      <c r="H1044" s="28">
        <f>IFERROR(IF(F1044*G1044=0,0,F1044*G1044),0)</f>
        <v/>
      </c>
      <c r="I1044" s="29" t="n"/>
      <c r="J1044" s="57" t="n"/>
      <c r="K1044" s="25" t="n"/>
      <c r="L1044" s="30" t="n"/>
      <c r="M1044" s="58" t="n"/>
      <c r="N1044" s="30" t="n"/>
      <c r="O1044" s="24">
        <f>IFERROR(IF(OR(M1044="",M1044=0),0,H1044*VALUE(SUBSTITUTE(M1044&amp;"","$",""))),0)</f>
        <v/>
      </c>
    </row>
    <row r="1045" hidden="1" outlineLevel="1" ht="16" customHeight="1">
      <c r="A1045" s="13" t="n"/>
      <c r="B1045" s="14" t="n"/>
      <c r="C1045" s="15" t="n"/>
      <c r="D1045" s="56" t="n"/>
      <c r="E1045" s="56" t="n"/>
      <c r="F1045" s="17" t="n"/>
      <c r="G1045" s="18">
        <f>IF(D1045="Tandem",10,IF(D1045="TT",22,IF(D1045="Quad",25,"")))</f>
        <v/>
      </c>
      <c r="H1045" s="19">
        <f>IFERROR(IF(F1045*G1045=0,0,F1045*G1045),0)</f>
        <v/>
      </c>
      <c r="I1045" s="20" t="n"/>
      <c r="J1045" s="57" t="n"/>
      <c r="K1045" s="14" t="n"/>
      <c r="L1045" s="22" t="n"/>
      <c r="M1045" s="58" t="n"/>
      <c r="N1045" s="22" t="n"/>
      <c r="O1045" s="24">
        <f>IFERROR(IF(OR(M1045="",M1045=0),0,H1045*VALUE(SUBSTITUTE(M1045&amp;"","$",""))),0)</f>
        <v/>
      </c>
    </row>
    <row r="1046" hidden="1" outlineLevel="1" ht="16" customHeight="1">
      <c r="A1046" s="13" t="n"/>
      <c r="B1046" s="25" t="n"/>
      <c r="C1046" s="26" t="n"/>
      <c r="D1046" s="56" t="n"/>
      <c r="E1046" s="56" t="n"/>
      <c r="F1046" s="27" t="n"/>
      <c r="G1046" s="18">
        <f>IF(D1046="Tandem",10,IF(D1046="TT",22,IF(D1046="Quad",25,"")))</f>
        <v/>
      </c>
      <c r="H1046" s="28">
        <f>IFERROR(IF(F1046*G1046=0,0,F1046*G1046),0)</f>
        <v/>
      </c>
      <c r="I1046" s="29" t="n"/>
      <c r="J1046" s="57" t="n"/>
      <c r="K1046" s="25" t="n"/>
      <c r="L1046" s="30" t="n"/>
      <c r="M1046" s="58" t="n"/>
      <c r="N1046" s="30" t="n"/>
      <c r="O1046" s="24">
        <f>IFERROR(IF(OR(M1046="",M1046=0),0,H1046*VALUE(SUBSTITUTE(M1046&amp;"","$",""))),0)</f>
        <v/>
      </c>
    </row>
    <row r="1047" hidden="1" outlineLevel="1" ht="16" customHeight="1">
      <c r="A1047" s="13" t="n"/>
      <c r="B1047" s="14" t="n"/>
      <c r="C1047" s="15" t="n"/>
      <c r="D1047" s="56" t="n"/>
      <c r="E1047" s="56" t="n"/>
      <c r="F1047" s="17" t="n"/>
      <c r="G1047" s="18">
        <f>IF(D1047="Tandem",10,IF(D1047="TT",22,IF(D1047="Quad",25,"")))</f>
        <v/>
      </c>
      <c r="H1047" s="19">
        <f>IFERROR(IF(F1047*G1047=0,0,F1047*G1047),0)</f>
        <v/>
      </c>
      <c r="I1047" s="20" t="n"/>
      <c r="J1047" s="57" t="n"/>
      <c r="K1047" s="14" t="n"/>
      <c r="L1047" s="22" t="n"/>
      <c r="M1047" s="58" t="n"/>
      <c r="N1047" s="22" t="n"/>
      <c r="O1047" s="24">
        <f>IFERROR(IF(OR(M1047="",M1047=0),0,H1047*VALUE(SUBSTITUTE(M1047&amp;"","$",""))),0)</f>
        <v/>
      </c>
    </row>
    <row r="1048" hidden="1" outlineLevel="1" ht="16" customHeight="1">
      <c r="A1048" s="13" t="n"/>
      <c r="B1048" s="25" t="n"/>
      <c r="C1048" s="26" t="n"/>
      <c r="D1048" s="56" t="n"/>
      <c r="E1048" s="56" t="n"/>
      <c r="F1048" s="27" t="n"/>
      <c r="G1048" s="18">
        <f>IF(D1048="Tandem",10,IF(D1048="TT",22,IF(D1048="Quad",25,"")))</f>
        <v/>
      </c>
      <c r="H1048" s="28">
        <f>IFERROR(IF(F1048*G1048=0,0,F1048*G1048),0)</f>
        <v/>
      </c>
      <c r="I1048" s="29" t="n"/>
      <c r="J1048" s="57" t="n"/>
      <c r="K1048" s="25" t="n"/>
      <c r="L1048" s="30" t="n"/>
      <c r="M1048" s="58" t="n"/>
      <c r="N1048" s="30" t="n"/>
      <c r="O1048" s="24">
        <f>IFERROR(IF(OR(M1048="",M1048=0),0,H1048*VALUE(SUBSTITUTE(M1048&amp;"","$",""))),0)</f>
        <v/>
      </c>
    </row>
    <row r="1049" hidden="1" outlineLevel="1" ht="16" customHeight="1">
      <c r="A1049" s="13" t="n"/>
      <c r="B1049" s="14" t="n"/>
      <c r="C1049" s="15" t="n"/>
      <c r="D1049" s="56" t="n"/>
      <c r="E1049" s="56" t="n"/>
      <c r="F1049" s="17" t="n"/>
      <c r="G1049" s="18">
        <f>IF(D1049="Tandem",10,IF(D1049="TT",22,IF(D1049="Quad",25,"")))</f>
        <v/>
      </c>
      <c r="H1049" s="19">
        <f>IFERROR(IF(F1049*G1049=0,0,F1049*G1049),0)</f>
        <v/>
      </c>
      <c r="I1049" s="20" t="n"/>
      <c r="J1049" s="57" t="n"/>
      <c r="K1049" s="14" t="n"/>
      <c r="L1049" s="22" t="n"/>
      <c r="M1049" s="58" t="n"/>
      <c r="N1049" s="22" t="n"/>
      <c r="O1049" s="24">
        <f>IFERROR(IF(OR(M1049="",M1049=0),0,H1049*VALUE(SUBSTITUTE(M1049&amp;"","$",""))),0)</f>
        <v/>
      </c>
    </row>
    <row r="1050" hidden="1" outlineLevel="1" ht="16" customHeight="1">
      <c r="A1050" s="13" t="n"/>
      <c r="B1050" s="25" t="n"/>
      <c r="C1050" s="26" t="n"/>
      <c r="D1050" s="56" t="n"/>
      <c r="E1050" s="56" t="n"/>
      <c r="F1050" s="27" t="n"/>
      <c r="G1050" s="18">
        <f>IF(D1050="Tandem",10,IF(D1050="TT",22,IF(D1050="Quad",25,"")))</f>
        <v/>
      </c>
      <c r="H1050" s="28">
        <f>IFERROR(IF(F1050*G1050=0,0,F1050*G1050),0)</f>
        <v/>
      </c>
      <c r="I1050" s="29" t="n"/>
      <c r="J1050" s="57" t="n"/>
      <c r="K1050" s="25" t="n"/>
      <c r="L1050" s="30" t="n"/>
      <c r="M1050" s="58" t="n"/>
      <c r="N1050" s="30" t="n"/>
      <c r="O1050" s="24">
        <f>IFERROR(IF(OR(M1050="",M1050=0),0,H1050*VALUE(SUBSTITUTE(M1050&amp;"","$",""))),0)</f>
        <v/>
      </c>
    </row>
    <row r="1051" hidden="1" outlineLevel="1" ht="16" customHeight="1">
      <c r="A1051" s="13" t="n"/>
      <c r="B1051" s="14" t="n"/>
      <c r="C1051" s="15" t="n"/>
      <c r="D1051" s="56" t="n"/>
      <c r="E1051" s="56" t="n"/>
      <c r="F1051" s="17" t="n"/>
      <c r="G1051" s="18">
        <f>IF(D1051="Tandem",10,IF(D1051="TT",22,IF(D1051="Quad",25,"")))</f>
        <v/>
      </c>
      <c r="H1051" s="19">
        <f>IFERROR(IF(F1051*G1051=0,0,F1051*G1051),0)</f>
        <v/>
      </c>
      <c r="I1051" s="20" t="n"/>
      <c r="J1051" s="57" t="n"/>
      <c r="K1051" s="14" t="n"/>
      <c r="L1051" s="22" t="n"/>
      <c r="M1051" s="58" t="n"/>
      <c r="N1051" s="22" t="n"/>
      <c r="O1051" s="24">
        <f>IFERROR(IF(OR(M1051="",M1051=0),0,H1051*VALUE(SUBSTITUTE(M1051&amp;"","$",""))),0)</f>
        <v/>
      </c>
    </row>
    <row r="1052" hidden="1" outlineLevel="1" ht="16" customHeight="1">
      <c r="A1052" s="13" t="n"/>
      <c r="B1052" s="25" t="n"/>
      <c r="C1052" s="26" t="n"/>
      <c r="D1052" s="56" t="n"/>
      <c r="E1052" s="56" t="n"/>
      <c r="F1052" s="27" t="n"/>
      <c r="G1052" s="18">
        <f>IF(D1052="Tandem",10,IF(D1052="TT",22,IF(D1052="Quad",25,"")))</f>
        <v/>
      </c>
      <c r="H1052" s="28">
        <f>IFERROR(IF(F1052*G1052=0,0,F1052*G1052),0)</f>
        <v/>
      </c>
      <c r="I1052" s="29" t="n"/>
      <c r="J1052" s="57" t="n"/>
      <c r="K1052" s="25" t="n"/>
      <c r="L1052" s="30" t="n"/>
      <c r="M1052" s="58" t="n"/>
      <c r="N1052" s="30" t="n"/>
      <c r="O1052" s="24">
        <f>IFERROR(IF(OR(M1052="",M1052=0),0,H1052*VALUE(SUBSTITUTE(M1052&amp;"","$",""))),0)</f>
        <v/>
      </c>
    </row>
    <row r="1053" hidden="1" outlineLevel="1" ht="16" customHeight="1">
      <c r="A1053" s="13" t="n"/>
      <c r="B1053" s="14" t="n"/>
      <c r="C1053" s="15" t="n"/>
      <c r="D1053" s="56" t="n"/>
      <c r="E1053" s="56" t="n"/>
      <c r="F1053" s="17" t="n"/>
      <c r="G1053" s="18">
        <f>IF(D1053="Tandem",10,IF(D1053="TT",22,IF(D1053="Quad",25,"")))</f>
        <v/>
      </c>
      <c r="H1053" s="19">
        <f>IFERROR(IF(F1053*G1053=0,0,F1053*G1053),0)</f>
        <v/>
      </c>
      <c r="I1053" s="20" t="n"/>
      <c r="J1053" s="57" t="n"/>
      <c r="K1053" s="14" t="n"/>
      <c r="L1053" s="22" t="n"/>
      <c r="M1053" s="58" t="n"/>
      <c r="N1053" s="22" t="n"/>
      <c r="O1053" s="24">
        <f>IFERROR(IF(OR(M1053="",M1053=0),0,H1053*VALUE(SUBSTITUTE(M1053&amp;"","$",""))),0)</f>
        <v/>
      </c>
    </row>
    <row r="1054" hidden="1" outlineLevel="1" ht="16" customHeight="1">
      <c r="A1054" s="13" t="n"/>
      <c r="B1054" s="25" t="n"/>
      <c r="C1054" s="26" t="n"/>
      <c r="D1054" s="56" t="n"/>
      <c r="E1054" s="56" t="n"/>
      <c r="F1054" s="27" t="n"/>
      <c r="G1054" s="18">
        <f>IF(D1054="Tandem",10,IF(D1054="TT",22,IF(D1054="Quad",25,"")))</f>
        <v/>
      </c>
      <c r="H1054" s="28">
        <f>IFERROR(IF(F1054*G1054=0,0,F1054*G1054),0)</f>
        <v/>
      </c>
      <c r="I1054" s="29" t="n"/>
      <c r="J1054" s="57" t="n"/>
      <c r="K1054" s="25" t="n"/>
      <c r="L1054" s="30" t="n"/>
      <c r="M1054" s="58" t="n"/>
      <c r="N1054" s="30" t="n"/>
      <c r="O1054" s="24">
        <f>IFERROR(IF(OR(M1054="",M1054=0),0,H1054*VALUE(SUBSTITUTE(M1054&amp;"","$",""))),0)</f>
        <v/>
      </c>
    </row>
    <row r="1055" hidden="1" outlineLevel="1" ht="16" customHeight="1">
      <c r="A1055" s="13" t="n"/>
      <c r="B1055" s="14" t="n"/>
      <c r="C1055" s="15" t="n"/>
      <c r="D1055" s="56" t="n"/>
      <c r="E1055" s="56" t="n"/>
      <c r="F1055" s="17" t="n"/>
      <c r="G1055" s="18">
        <f>IF(D1055="Tandem",10,IF(D1055="TT",22,IF(D1055="Quad",25,"")))</f>
        <v/>
      </c>
      <c r="H1055" s="19">
        <f>IFERROR(IF(F1055*G1055=0,0,F1055*G1055),0)</f>
        <v/>
      </c>
      <c r="I1055" s="20" t="n"/>
      <c r="J1055" s="57" t="n"/>
      <c r="K1055" s="14" t="n"/>
      <c r="L1055" s="22" t="n"/>
      <c r="M1055" s="58" t="n"/>
      <c r="N1055" s="22" t="n"/>
      <c r="O1055" s="24">
        <f>IFERROR(IF(OR(M1055="",M1055=0),0,H1055*VALUE(SUBSTITUTE(M1055&amp;"","$",""))),0)</f>
        <v/>
      </c>
    </row>
    <row r="1056" hidden="1" outlineLevel="1" ht="16" customHeight="1">
      <c r="A1056" s="13" t="n"/>
      <c r="B1056" s="25" t="n"/>
      <c r="C1056" s="26" t="n"/>
      <c r="D1056" s="56" t="n"/>
      <c r="E1056" s="56" t="n"/>
      <c r="F1056" s="27" t="n"/>
      <c r="G1056" s="18">
        <f>IF(D1056="Tandem",10,IF(D1056="TT",22,IF(D1056="Quad",25,"")))</f>
        <v/>
      </c>
      <c r="H1056" s="28">
        <f>IFERROR(IF(F1056*G1056=0,0,F1056*G1056),0)</f>
        <v/>
      </c>
      <c r="I1056" s="29" t="n"/>
      <c r="J1056" s="57" t="n"/>
      <c r="K1056" s="25" t="n"/>
      <c r="L1056" s="30" t="n"/>
      <c r="M1056" s="58" t="n"/>
      <c r="N1056" s="30" t="n"/>
      <c r="O1056" s="24">
        <f>IFERROR(IF(OR(M1056="",M1056=0),0,H1056*VALUE(SUBSTITUTE(M1056&amp;"","$",""))),0)</f>
        <v/>
      </c>
    </row>
    <row r="1057" hidden="1" outlineLevel="1" ht="20" customHeight="1">
      <c r="A1057" s="59" t="inlineStr">
        <is>
          <t>Daily Notes:</t>
        </is>
      </c>
      <c r="B1057" s="54" t="n"/>
      <c r="C1057" s="54" t="n"/>
      <c r="D1057" s="54" t="n"/>
      <c r="E1057" s="54" t="n"/>
      <c r="F1057" s="54" t="n"/>
      <c r="G1057" s="54" t="n"/>
      <c r="H1057" s="54" t="n"/>
      <c r="I1057" s="54" t="n"/>
      <c r="J1057" s="54" t="n"/>
      <c r="K1057" s="54" t="n"/>
      <c r="L1057" s="54" t="n"/>
      <c r="M1057" s="54" t="n"/>
      <c r="N1057" s="50" t="n"/>
      <c r="O1057" s="60" t="n"/>
    </row>
    <row r="1058" hidden="1" outlineLevel="1" ht="18" customHeight="1">
      <c r="A1058" s="32" t="inlineStr">
        <is>
          <t>DAILY TOTAL</t>
        </is>
      </c>
      <c r="B1058" s="54" t="n"/>
      <c r="C1058" s="54" t="n"/>
      <c r="D1058" s="54" t="n"/>
      <c r="E1058" s="54" t="n"/>
      <c r="F1058" s="54" t="n"/>
      <c r="G1058" s="50" t="n"/>
      <c r="H1058" s="34">
        <f>SUM(H1027:H1056)</f>
        <v/>
      </c>
      <c r="I1058" s="35">
        <f>SUM(I1027:I1056)</f>
        <v/>
      </c>
      <c r="J1058" s="61" t="n"/>
      <c r="K1058" s="61" t="n"/>
      <c r="L1058" s="61" t="n"/>
      <c r="M1058" s="36">
        <f>SUM(O1027:O1056)</f>
        <v/>
      </c>
      <c r="N1058" s="61" t="n"/>
      <c r="O1058" s="62" t="n"/>
    </row>
    <row r="1059" hidden="1" outlineLevel="1" ht="18" customHeight="1">
      <c r="A1059" s="2" t="inlineStr">
        <is>
          <t>▶ RUNNING TOTAL</t>
        </is>
      </c>
      <c r="B1059" s="54" t="n"/>
      <c r="C1059" s="54" t="n"/>
      <c r="D1059" s="54" t="n"/>
      <c r="E1059" s="54" t="n"/>
      <c r="F1059" s="54" t="n"/>
      <c r="G1059" s="50" t="n"/>
      <c r="H1059" s="37">
        <f>H50+H86+H122+H158+H194+H230+H266+H302+H338+H374+H410+H446+H482+H518+H554+H590+H626+H662+H698+H734+H770+H806+H842+H878+H914+H950+H986+H1022+H1058</f>
        <v/>
      </c>
      <c r="I1059" s="63" t="n"/>
      <c r="J1059" s="63" t="n"/>
      <c r="K1059" s="63" t="n"/>
      <c r="L1059" s="63" t="n"/>
      <c r="M1059" s="38">
        <f>M50+M86+M122+M158+M194+M230+M266+M302+M338+M374+M410+M446+M482+M518+M554+M590+M626+M662+M698+M734+M770+M806+M842+M878+M914+M950+M986+M1022+M1058</f>
        <v/>
      </c>
      <c r="N1059" s="63" t="n"/>
      <c r="O1059" s="64" t="n"/>
    </row>
    <row r="1060" hidden="1" outlineLevel="1" ht="8" customHeight="1"/>
    <row r="1061" ht="22" customHeight="1">
      <c r="A1061" s="55" t="inlineStr">
        <is>
          <t>DAY 30</t>
        </is>
      </c>
      <c r="B1061" s="54" t="n"/>
      <c r="C1061" s="54" t="n"/>
      <c r="D1061" s="54" t="n"/>
      <c r="E1061" s="54" t="n"/>
      <c r="F1061" s="54" t="n"/>
      <c r="G1061" s="54" t="n"/>
      <c r="H1061" s="54" t="n"/>
      <c r="I1061" s="54" t="n"/>
      <c r="J1061" s="54" t="n"/>
      <c r="K1061" s="54" t="n"/>
      <c r="L1061" s="54" t="n"/>
      <c r="M1061" s="54" t="n"/>
      <c r="N1061" s="50" t="n"/>
    </row>
    <row r="1062" hidden="1" outlineLevel="1" ht="28" customHeight="1">
      <c r="A1062" s="12" t="inlineStr">
        <is>
          <t>Date</t>
        </is>
      </c>
      <c r="B1062" s="12" t="inlineStr">
        <is>
          <t>Cartage Company</t>
        </is>
      </c>
      <c r="C1062" s="12" t="inlineStr">
        <is>
          <t>Truck Rego</t>
        </is>
      </c>
      <c r="D1062" s="12" t="inlineStr">
        <is>
          <t>Truck Type</t>
        </is>
      </c>
      <c r="E1062" s="12" t="inlineStr">
        <is>
          <t>Exp / Imp</t>
        </is>
      </c>
      <c r="F1062" s="12" t="inlineStr">
        <is>
          <t>Loads</t>
        </is>
      </c>
      <c r="G1062" s="12" t="inlineStr">
        <is>
          <t>m³ / Load</t>
        </is>
      </c>
      <c r="H1062" s="12" t="inlineStr">
        <is>
          <t>Total m³</t>
        </is>
      </c>
      <c r="I1062" s="12" t="inlineStr">
        <is>
          <t>Hours</t>
        </is>
      </c>
      <c r="J1062" s="12" t="inlineStr">
        <is>
          <t>Material</t>
        </is>
      </c>
      <c r="K1062" s="12" t="inlineStr">
        <is>
          <t>Tip Site</t>
        </is>
      </c>
      <c r="L1062" s="12" t="inlineStr">
        <is>
          <t>Docket #</t>
        </is>
      </c>
      <c r="M1062" s="12" t="inlineStr">
        <is>
          <t>Rate Paid ($/m³)</t>
        </is>
      </c>
      <c r="N1062" s="12" t="inlineStr">
        <is>
          <t>Invoice #</t>
        </is>
      </c>
    </row>
    <row r="1063" hidden="1" outlineLevel="1" ht="16" customHeight="1">
      <c r="A1063" s="13" t="n"/>
      <c r="B1063" s="14" t="n"/>
      <c r="C1063" s="15" t="n"/>
      <c r="D1063" s="56" t="n"/>
      <c r="E1063" s="56" t="n"/>
      <c r="F1063" s="17" t="n"/>
      <c r="G1063" s="18">
        <f>IF(D1063="Tandem",10,IF(D1063="TT",22,IF(D1063="Quad",25,"")))</f>
        <v/>
      </c>
      <c r="H1063" s="19">
        <f>IFERROR(IF(F1063*G1063=0,0,F1063*G1063),0)</f>
        <v/>
      </c>
      <c r="I1063" s="20" t="n"/>
      <c r="J1063" s="57" t="n"/>
      <c r="K1063" s="14" t="n"/>
      <c r="L1063" s="22" t="n"/>
      <c r="M1063" s="58" t="n"/>
      <c r="N1063" s="22" t="n"/>
      <c r="O1063" s="24">
        <f>IFERROR(IF(OR(M1063="",M1063=0),0,H1063*VALUE(SUBSTITUTE(M1063&amp;"","$",""))),0)</f>
        <v/>
      </c>
    </row>
    <row r="1064" hidden="1" outlineLevel="1" ht="16" customHeight="1">
      <c r="A1064" s="13" t="n"/>
      <c r="B1064" s="25" t="n"/>
      <c r="C1064" s="26" t="n"/>
      <c r="D1064" s="56" t="n"/>
      <c r="E1064" s="56" t="n"/>
      <c r="F1064" s="27" t="n"/>
      <c r="G1064" s="18">
        <f>IF(D1064="Tandem",10,IF(D1064="TT",22,IF(D1064="Quad",25,"")))</f>
        <v/>
      </c>
      <c r="H1064" s="28">
        <f>IFERROR(IF(F1064*G1064=0,0,F1064*G1064),0)</f>
        <v/>
      </c>
      <c r="I1064" s="29" t="n"/>
      <c r="J1064" s="57" t="n"/>
      <c r="K1064" s="25" t="n"/>
      <c r="L1064" s="30" t="n"/>
      <c r="M1064" s="58" t="n"/>
      <c r="N1064" s="30" t="n"/>
      <c r="O1064" s="24">
        <f>IFERROR(IF(OR(M1064="",M1064=0),0,H1064*VALUE(SUBSTITUTE(M1064&amp;"","$",""))),0)</f>
        <v/>
      </c>
    </row>
    <row r="1065" hidden="1" outlineLevel="1" ht="16" customHeight="1">
      <c r="A1065" s="13" t="n"/>
      <c r="B1065" s="14" t="n"/>
      <c r="C1065" s="15" t="n"/>
      <c r="D1065" s="56" t="n"/>
      <c r="E1065" s="56" t="n"/>
      <c r="F1065" s="17" t="n"/>
      <c r="G1065" s="18">
        <f>IF(D1065="Tandem",10,IF(D1065="TT",22,IF(D1065="Quad",25,"")))</f>
        <v/>
      </c>
      <c r="H1065" s="19">
        <f>IFERROR(IF(F1065*G1065=0,0,F1065*G1065),0)</f>
        <v/>
      </c>
      <c r="I1065" s="20" t="n"/>
      <c r="J1065" s="57" t="n"/>
      <c r="K1065" s="14" t="n"/>
      <c r="L1065" s="22" t="n"/>
      <c r="M1065" s="58" t="n"/>
      <c r="N1065" s="22" t="n"/>
      <c r="O1065" s="24">
        <f>IFERROR(IF(OR(M1065="",M1065=0),0,H1065*VALUE(SUBSTITUTE(M1065&amp;"","$",""))),0)</f>
        <v/>
      </c>
    </row>
    <row r="1066" hidden="1" outlineLevel="1" ht="16" customHeight="1">
      <c r="A1066" s="13" t="n"/>
      <c r="B1066" s="25" t="n"/>
      <c r="C1066" s="26" t="n"/>
      <c r="D1066" s="56" t="n"/>
      <c r="E1066" s="56" t="n"/>
      <c r="F1066" s="27" t="n"/>
      <c r="G1066" s="18">
        <f>IF(D1066="Tandem",10,IF(D1066="TT",22,IF(D1066="Quad",25,"")))</f>
        <v/>
      </c>
      <c r="H1066" s="28">
        <f>IFERROR(IF(F1066*G1066=0,0,F1066*G1066),0)</f>
        <v/>
      </c>
      <c r="I1066" s="29" t="n"/>
      <c r="J1066" s="57" t="n"/>
      <c r="K1066" s="25" t="n"/>
      <c r="L1066" s="30" t="n"/>
      <c r="M1066" s="58" t="n"/>
      <c r="N1066" s="30" t="n"/>
      <c r="O1066" s="24">
        <f>IFERROR(IF(OR(M1066="",M1066=0),0,H1066*VALUE(SUBSTITUTE(M1066&amp;"","$",""))),0)</f>
        <v/>
      </c>
    </row>
    <row r="1067" hidden="1" outlineLevel="1" ht="16" customHeight="1">
      <c r="A1067" s="13" t="n"/>
      <c r="B1067" s="14" t="n"/>
      <c r="C1067" s="15" t="n"/>
      <c r="D1067" s="56" t="n"/>
      <c r="E1067" s="56" t="n"/>
      <c r="F1067" s="17" t="n"/>
      <c r="G1067" s="18">
        <f>IF(D1067="Tandem",10,IF(D1067="TT",22,IF(D1067="Quad",25,"")))</f>
        <v/>
      </c>
      <c r="H1067" s="19">
        <f>IFERROR(IF(F1067*G1067=0,0,F1067*G1067),0)</f>
        <v/>
      </c>
      <c r="I1067" s="20" t="n"/>
      <c r="J1067" s="57" t="n"/>
      <c r="K1067" s="14" t="n"/>
      <c r="L1067" s="22" t="n"/>
      <c r="M1067" s="58" t="n"/>
      <c r="N1067" s="22" t="n"/>
      <c r="O1067" s="24">
        <f>IFERROR(IF(OR(M1067="",M1067=0),0,H1067*VALUE(SUBSTITUTE(M1067&amp;"","$",""))),0)</f>
        <v/>
      </c>
    </row>
    <row r="1068" hidden="1" outlineLevel="1" ht="16" customHeight="1">
      <c r="A1068" s="13" t="n"/>
      <c r="B1068" s="25" t="n"/>
      <c r="C1068" s="26" t="n"/>
      <c r="D1068" s="56" t="n"/>
      <c r="E1068" s="56" t="n"/>
      <c r="F1068" s="27" t="n"/>
      <c r="G1068" s="18">
        <f>IF(D1068="Tandem",10,IF(D1068="TT",22,IF(D1068="Quad",25,"")))</f>
        <v/>
      </c>
      <c r="H1068" s="28">
        <f>IFERROR(IF(F1068*G1068=0,0,F1068*G1068),0)</f>
        <v/>
      </c>
      <c r="I1068" s="29" t="n"/>
      <c r="J1068" s="57" t="n"/>
      <c r="K1068" s="25" t="n"/>
      <c r="L1068" s="30" t="n"/>
      <c r="M1068" s="58" t="n"/>
      <c r="N1068" s="30" t="n"/>
      <c r="O1068" s="24">
        <f>IFERROR(IF(OR(M1068="",M1068=0),0,H1068*VALUE(SUBSTITUTE(M1068&amp;"","$",""))),0)</f>
        <v/>
      </c>
    </row>
    <row r="1069" hidden="1" outlineLevel="1" ht="16" customHeight="1">
      <c r="A1069" s="13" t="n"/>
      <c r="B1069" s="14" t="n"/>
      <c r="C1069" s="15" t="n"/>
      <c r="D1069" s="56" t="n"/>
      <c r="E1069" s="56" t="n"/>
      <c r="F1069" s="17" t="n"/>
      <c r="G1069" s="18">
        <f>IF(D1069="Tandem",10,IF(D1069="TT",22,IF(D1069="Quad",25,"")))</f>
        <v/>
      </c>
      <c r="H1069" s="19">
        <f>IFERROR(IF(F1069*G1069=0,0,F1069*G1069),0)</f>
        <v/>
      </c>
      <c r="I1069" s="20" t="n"/>
      <c r="J1069" s="57" t="n"/>
      <c r="K1069" s="14" t="n"/>
      <c r="L1069" s="22" t="n"/>
      <c r="M1069" s="58" t="n"/>
      <c r="N1069" s="22" t="n"/>
      <c r="O1069" s="24">
        <f>IFERROR(IF(OR(M1069="",M1069=0),0,H1069*VALUE(SUBSTITUTE(M1069&amp;"","$",""))),0)</f>
        <v/>
      </c>
    </row>
    <row r="1070" hidden="1" outlineLevel="1" ht="16" customHeight="1">
      <c r="A1070" s="13" t="n"/>
      <c r="B1070" s="25" t="n"/>
      <c r="C1070" s="26" t="n"/>
      <c r="D1070" s="56" t="n"/>
      <c r="E1070" s="56" t="n"/>
      <c r="F1070" s="27" t="n"/>
      <c r="G1070" s="18">
        <f>IF(D1070="Tandem",10,IF(D1070="TT",22,IF(D1070="Quad",25,"")))</f>
        <v/>
      </c>
      <c r="H1070" s="28">
        <f>IFERROR(IF(F1070*G1070=0,0,F1070*G1070),0)</f>
        <v/>
      </c>
      <c r="I1070" s="29" t="n"/>
      <c r="J1070" s="57" t="n"/>
      <c r="K1070" s="25" t="n"/>
      <c r="L1070" s="30" t="n"/>
      <c r="M1070" s="58" t="n"/>
      <c r="N1070" s="30" t="n"/>
      <c r="O1070" s="24">
        <f>IFERROR(IF(OR(M1070="",M1070=0),0,H1070*VALUE(SUBSTITUTE(M1070&amp;"","$",""))),0)</f>
        <v/>
      </c>
    </row>
    <row r="1071" hidden="1" outlineLevel="1" ht="16" customHeight="1">
      <c r="A1071" s="13" t="n"/>
      <c r="B1071" s="14" t="n"/>
      <c r="C1071" s="15" t="n"/>
      <c r="D1071" s="56" t="n"/>
      <c r="E1071" s="56" t="n"/>
      <c r="F1071" s="17" t="n"/>
      <c r="G1071" s="18">
        <f>IF(D1071="Tandem",10,IF(D1071="TT",22,IF(D1071="Quad",25,"")))</f>
        <v/>
      </c>
      <c r="H1071" s="19">
        <f>IFERROR(IF(F1071*G1071=0,0,F1071*G1071),0)</f>
        <v/>
      </c>
      <c r="I1071" s="20" t="n"/>
      <c r="J1071" s="57" t="n"/>
      <c r="K1071" s="14" t="n"/>
      <c r="L1071" s="22" t="n"/>
      <c r="M1071" s="58" t="n"/>
      <c r="N1071" s="22" t="n"/>
      <c r="O1071" s="24">
        <f>IFERROR(IF(OR(M1071="",M1071=0),0,H1071*VALUE(SUBSTITUTE(M1071&amp;"","$",""))),0)</f>
        <v/>
      </c>
    </row>
    <row r="1072" hidden="1" outlineLevel="1" ht="16" customHeight="1">
      <c r="A1072" s="13" t="n"/>
      <c r="B1072" s="25" t="n"/>
      <c r="C1072" s="26" t="n"/>
      <c r="D1072" s="56" t="n"/>
      <c r="E1072" s="56" t="n"/>
      <c r="F1072" s="27" t="n"/>
      <c r="G1072" s="18">
        <f>IF(D1072="Tandem",10,IF(D1072="TT",22,IF(D1072="Quad",25,"")))</f>
        <v/>
      </c>
      <c r="H1072" s="28">
        <f>IFERROR(IF(F1072*G1072=0,0,F1072*G1072),0)</f>
        <v/>
      </c>
      <c r="I1072" s="29" t="n"/>
      <c r="J1072" s="57" t="n"/>
      <c r="K1072" s="25" t="n"/>
      <c r="L1072" s="30" t="n"/>
      <c r="M1072" s="58" t="n"/>
      <c r="N1072" s="30" t="n"/>
      <c r="O1072" s="24">
        <f>IFERROR(IF(OR(M1072="",M1072=0),0,H1072*VALUE(SUBSTITUTE(M1072&amp;"","$",""))),0)</f>
        <v/>
      </c>
    </row>
    <row r="1073" hidden="1" outlineLevel="1" ht="16" customHeight="1">
      <c r="A1073" s="13" t="n"/>
      <c r="B1073" s="14" t="n"/>
      <c r="C1073" s="15" t="n"/>
      <c r="D1073" s="56" t="n"/>
      <c r="E1073" s="56" t="n"/>
      <c r="F1073" s="17" t="n"/>
      <c r="G1073" s="18">
        <f>IF(D1073="Tandem",10,IF(D1073="TT",22,IF(D1073="Quad",25,"")))</f>
        <v/>
      </c>
      <c r="H1073" s="19">
        <f>IFERROR(IF(F1073*G1073=0,0,F1073*G1073),0)</f>
        <v/>
      </c>
      <c r="I1073" s="20" t="n"/>
      <c r="J1073" s="57" t="n"/>
      <c r="K1073" s="14" t="n"/>
      <c r="L1073" s="22" t="n"/>
      <c r="M1073" s="58" t="n"/>
      <c r="N1073" s="22" t="n"/>
      <c r="O1073" s="24">
        <f>IFERROR(IF(OR(M1073="",M1073=0),0,H1073*VALUE(SUBSTITUTE(M1073&amp;"","$",""))),0)</f>
        <v/>
      </c>
    </row>
    <row r="1074" hidden="1" outlineLevel="1" ht="16" customHeight="1">
      <c r="A1074" s="13" t="n"/>
      <c r="B1074" s="25" t="n"/>
      <c r="C1074" s="26" t="n"/>
      <c r="D1074" s="56" t="n"/>
      <c r="E1074" s="56" t="n"/>
      <c r="F1074" s="27" t="n"/>
      <c r="G1074" s="18">
        <f>IF(D1074="Tandem",10,IF(D1074="TT",22,IF(D1074="Quad",25,"")))</f>
        <v/>
      </c>
      <c r="H1074" s="28">
        <f>IFERROR(IF(F1074*G1074=0,0,F1074*G1074),0)</f>
        <v/>
      </c>
      <c r="I1074" s="29" t="n"/>
      <c r="J1074" s="57" t="n"/>
      <c r="K1074" s="25" t="n"/>
      <c r="L1074" s="30" t="n"/>
      <c r="M1074" s="58" t="n"/>
      <c r="N1074" s="30" t="n"/>
      <c r="O1074" s="24">
        <f>IFERROR(IF(OR(M1074="",M1074=0),0,H1074*VALUE(SUBSTITUTE(M1074&amp;"","$",""))),0)</f>
        <v/>
      </c>
    </row>
    <row r="1075" hidden="1" outlineLevel="1" ht="16" customHeight="1">
      <c r="A1075" s="13" t="n"/>
      <c r="B1075" s="14" t="n"/>
      <c r="C1075" s="15" t="n"/>
      <c r="D1075" s="56" t="n"/>
      <c r="E1075" s="56" t="n"/>
      <c r="F1075" s="17" t="n"/>
      <c r="G1075" s="18">
        <f>IF(D1075="Tandem",10,IF(D1075="TT",22,IF(D1075="Quad",25,"")))</f>
        <v/>
      </c>
      <c r="H1075" s="19">
        <f>IFERROR(IF(F1075*G1075=0,0,F1075*G1075),0)</f>
        <v/>
      </c>
      <c r="I1075" s="20" t="n"/>
      <c r="J1075" s="57" t="n"/>
      <c r="K1075" s="14" t="n"/>
      <c r="L1075" s="22" t="n"/>
      <c r="M1075" s="58" t="n"/>
      <c r="N1075" s="22" t="n"/>
      <c r="O1075" s="24">
        <f>IFERROR(IF(OR(M1075="",M1075=0),0,H1075*VALUE(SUBSTITUTE(M1075&amp;"","$",""))),0)</f>
        <v/>
      </c>
    </row>
    <row r="1076" hidden="1" outlineLevel="1" ht="16" customHeight="1">
      <c r="A1076" s="13" t="n"/>
      <c r="B1076" s="25" t="n"/>
      <c r="C1076" s="26" t="n"/>
      <c r="D1076" s="56" t="n"/>
      <c r="E1076" s="56" t="n"/>
      <c r="F1076" s="27" t="n"/>
      <c r="G1076" s="18">
        <f>IF(D1076="Tandem",10,IF(D1076="TT",22,IF(D1076="Quad",25,"")))</f>
        <v/>
      </c>
      <c r="H1076" s="28">
        <f>IFERROR(IF(F1076*G1076=0,0,F1076*G1076),0)</f>
        <v/>
      </c>
      <c r="I1076" s="29" t="n"/>
      <c r="J1076" s="57" t="n"/>
      <c r="K1076" s="25" t="n"/>
      <c r="L1076" s="30" t="n"/>
      <c r="M1076" s="58" t="n"/>
      <c r="N1076" s="30" t="n"/>
      <c r="O1076" s="24">
        <f>IFERROR(IF(OR(M1076="",M1076=0),0,H1076*VALUE(SUBSTITUTE(M1076&amp;"","$",""))),0)</f>
        <v/>
      </c>
    </row>
    <row r="1077" hidden="1" outlineLevel="1" ht="16" customHeight="1">
      <c r="A1077" s="13" t="n"/>
      <c r="B1077" s="14" t="n"/>
      <c r="C1077" s="15" t="n"/>
      <c r="D1077" s="56" t="n"/>
      <c r="E1077" s="56" t="n"/>
      <c r="F1077" s="17" t="n"/>
      <c r="G1077" s="18">
        <f>IF(D1077="Tandem",10,IF(D1077="TT",22,IF(D1077="Quad",25,"")))</f>
        <v/>
      </c>
      <c r="H1077" s="19">
        <f>IFERROR(IF(F1077*G1077=0,0,F1077*G1077),0)</f>
        <v/>
      </c>
      <c r="I1077" s="20" t="n"/>
      <c r="J1077" s="57" t="n"/>
      <c r="K1077" s="14" t="n"/>
      <c r="L1077" s="22" t="n"/>
      <c r="M1077" s="58" t="n"/>
      <c r="N1077" s="22" t="n"/>
      <c r="O1077" s="24">
        <f>IFERROR(IF(OR(M1077="",M1077=0),0,H1077*VALUE(SUBSTITUTE(M1077&amp;"","$",""))),0)</f>
        <v/>
      </c>
    </row>
    <row r="1078" hidden="1" outlineLevel="1" ht="16" customHeight="1">
      <c r="A1078" s="13" t="n"/>
      <c r="B1078" s="25" t="n"/>
      <c r="C1078" s="26" t="n"/>
      <c r="D1078" s="56" t="n"/>
      <c r="E1078" s="56" t="n"/>
      <c r="F1078" s="27" t="n"/>
      <c r="G1078" s="18">
        <f>IF(D1078="Tandem",10,IF(D1078="TT",22,IF(D1078="Quad",25,"")))</f>
        <v/>
      </c>
      <c r="H1078" s="28">
        <f>IFERROR(IF(F1078*G1078=0,0,F1078*G1078),0)</f>
        <v/>
      </c>
      <c r="I1078" s="29" t="n"/>
      <c r="J1078" s="57" t="n"/>
      <c r="K1078" s="25" t="n"/>
      <c r="L1078" s="30" t="n"/>
      <c r="M1078" s="58" t="n"/>
      <c r="N1078" s="30" t="n"/>
      <c r="O1078" s="24">
        <f>IFERROR(IF(OR(M1078="",M1078=0),0,H1078*VALUE(SUBSTITUTE(M1078&amp;"","$",""))),0)</f>
        <v/>
      </c>
    </row>
    <row r="1079" hidden="1" outlineLevel="1" ht="16" customHeight="1">
      <c r="A1079" s="13" t="n"/>
      <c r="B1079" s="14" t="n"/>
      <c r="C1079" s="15" t="n"/>
      <c r="D1079" s="56" t="n"/>
      <c r="E1079" s="56" t="n"/>
      <c r="F1079" s="17" t="n"/>
      <c r="G1079" s="18">
        <f>IF(D1079="Tandem",10,IF(D1079="TT",22,IF(D1079="Quad",25,"")))</f>
        <v/>
      </c>
      <c r="H1079" s="19">
        <f>IFERROR(IF(F1079*G1079=0,0,F1079*G1079),0)</f>
        <v/>
      </c>
      <c r="I1079" s="20" t="n"/>
      <c r="J1079" s="57" t="n"/>
      <c r="K1079" s="14" t="n"/>
      <c r="L1079" s="22" t="n"/>
      <c r="M1079" s="58" t="n"/>
      <c r="N1079" s="22" t="n"/>
      <c r="O1079" s="24">
        <f>IFERROR(IF(OR(M1079="",M1079=0),0,H1079*VALUE(SUBSTITUTE(M1079&amp;"","$",""))),0)</f>
        <v/>
      </c>
    </row>
    <row r="1080" hidden="1" outlineLevel="1" ht="16" customHeight="1">
      <c r="A1080" s="13" t="n"/>
      <c r="B1080" s="25" t="n"/>
      <c r="C1080" s="26" t="n"/>
      <c r="D1080" s="56" t="n"/>
      <c r="E1080" s="56" t="n"/>
      <c r="F1080" s="27" t="n"/>
      <c r="G1080" s="18">
        <f>IF(D1080="Tandem",10,IF(D1080="TT",22,IF(D1080="Quad",25,"")))</f>
        <v/>
      </c>
      <c r="H1080" s="28">
        <f>IFERROR(IF(F1080*G1080=0,0,F1080*G1080),0)</f>
        <v/>
      </c>
      <c r="I1080" s="29" t="n"/>
      <c r="J1080" s="57" t="n"/>
      <c r="K1080" s="25" t="n"/>
      <c r="L1080" s="30" t="n"/>
      <c r="M1080" s="58" t="n"/>
      <c r="N1080" s="30" t="n"/>
      <c r="O1080" s="24">
        <f>IFERROR(IF(OR(M1080="",M1080=0),0,H1080*VALUE(SUBSTITUTE(M1080&amp;"","$",""))),0)</f>
        <v/>
      </c>
    </row>
    <row r="1081" hidden="1" outlineLevel="1" ht="16" customHeight="1">
      <c r="A1081" s="13" t="n"/>
      <c r="B1081" s="14" t="n"/>
      <c r="C1081" s="15" t="n"/>
      <c r="D1081" s="56" t="n"/>
      <c r="E1081" s="56" t="n"/>
      <c r="F1081" s="17" t="n"/>
      <c r="G1081" s="18">
        <f>IF(D1081="Tandem",10,IF(D1081="TT",22,IF(D1081="Quad",25,"")))</f>
        <v/>
      </c>
      <c r="H1081" s="19">
        <f>IFERROR(IF(F1081*G1081=0,0,F1081*G1081),0)</f>
        <v/>
      </c>
      <c r="I1081" s="20" t="n"/>
      <c r="J1081" s="57" t="n"/>
      <c r="K1081" s="14" t="n"/>
      <c r="L1081" s="22" t="n"/>
      <c r="M1081" s="58" t="n"/>
      <c r="N1081" s="22" t="n"/>
      <c r="O1081" s="24">
        <f>IFERROR(IF(OR(M1081="",M1081=0),0,H1081*VALUE(SUBSTITUTE(M1081&amp;"","$",""))),0)</f>
        <v/>
      </c>
    </row>
    <row r="1082" hidden="1" outlineLevel="1" ht="16" customHeight="1">
      <c r="A1082" s="13" t="n"/>
      <c r="B1082" s="25" t="n"/>
      <c r="C1082" s="26" t="n"/>
      <c r="D1082" s="56" t="n"/>
      <c r="E1082" s="56" t="n"/>
      <c r="F1082" s="27" t="n"/>
      <c r="G1082" s="18">
        <f>IF(D1082="Tandem",10,IF(D1082="TT",22,IF(D1082="Quad",25,"")))</f>
        <v/>
      </c>
      <c r="H1082" s="28">
        <f>IFERROR(IF(F1082*G1082=0,0,F1082*G1082),0)</f>
        <v/>
      </c>
      <c r="I1082" s="29" t="n"/>
      <c r="J1082" s="57" t="n"/>
      <c r="K1082" s="25" t="n"/>
      <c r="L1082" s="30" t="n"/>
      <c r="M1082" s="58" t="n"/>
      <c r="N1082" s="30" t="n"/>
      <c r="O1082" s="24">
        <f>IFERROR(IF(OR(M1082="",M1082=0),0,H1082*VALUE(SUBSTITUTE(M1082&amp;"","$",""))),0)</f>
        <v/>
      </c>
    </row>
    <row r="1083" hidden="1" outlineLevel="1" ht="16" customHeight="1">
      <c r="A1083" s="13" t="n"/>
      <c r="B1083" s="14" t="n"/>
      <c r="C1083" s="15" t="n"/>
      <c r="D1083" s="56" t="n"/>
      <c r="E1083" s="56" t="n"/>
      <c r="F1083" s="17" t="n"/>
      <c r="G1083" s="18">
        <f>IF(D1083="Tandem",10,IF(D1083="TT",22,IF(D1083="Quad",25,"")))</f>
        <v/>
      </c>
      <c r="H1083" s="19">
        <f>IFERROR(IF(F1083*G1083=0,0,F1083*G1083),0)</f>
        <v/>
      </c>
      <c r="I1083" s="20" t="n"/>
      <c r="J1083" s="57" t="n"/>
      <c r="K1083" s="14" t="n"/>
      <c r="L1083" s="22" t="n"/>
      <c r="M1083" s="58" t="n"/>
      <c r="N1083" s="22" t="n"/>
      <c r="O1083" s="24">
        <f>IFERROR(IF(OR(M1083="",M1083=0),0,H1083*VALUE(SUBSTITUTE(M1083&amp;"","$",""))),0)</f>
        <v/>
      </c>
    </row>
    <row r="1084" hidden="1" outlineLevel="1" ht="16" customHeight="1">
      <c r="A1084" s="13" t="n"/>
      <c r="B1084" s="25" t="n"/>
      <c r="C1084" s="26" t="n"/>
      <c r="D1084" s="56" t="n"/>
      <c r="E1084" s="56" t="n"/>
      <c r="F1084" s="27" t="n"/>
      <c r="G1084" s="18">
        <f>IF(D1084="Tandem",10,IF(D1084="TT",22,IF(D1084="Quad",25,"")))</f>
        <v/>
      </c>
      <c r="H1084" s="28">
        <f>IFERROR(IF(F1084*G1084=0,0,F1084*G1084),0)</f>
        <v/>
      </c>
      <c r="I1084" s="29" t="n"/>
      <c r="J1084" s="57" t="n"/>
      <c r="K1084" s="25" t="n"/>
      <c r="L1084" s="30" t="n"/>
      <c r="M1084" s="58" t="n"/>
      <c r="N1084" s="30" t="n"/>
      <c r="O1084" s="24">
        <f>IFERROR(IF(OR(M1084="",M1084=0),0,H1084*VALUE(SUBSTITUTE(M1084&amp;"","$",""))),0)</f>
        <v/>
      </c>
    </row>
    <row r="1085" hidden="1" outlineLevel="1" ht="16" customHeight="1">
      <c r="A1085" s="13" t="n"/>
      <c r="B1085" s="14" t="n"/>
      <c r="C1085" s="15" t="n"/>
      <c r="D1085" s="56" t="n"/>
      <c r="E1085" s="56" t="n"/>
      <c r="F1085" s="17" t="n"/>
      <c r="G1085" s="18">
        <f>IF(D1085="Tandem",10,IF(D1085="TT",22,IF(D1085="Quad",25,"")))</f>
        <v/>
      </c>
      <c r="H1085" s="19">
        <f>IFERROR(IF(F1085*G1085=0,0,F1085*G1085),0)</f>
        <v/>
      </c>
      <c r="I1085" s="20" t="n"/>
      <c r="J1085" s="57" t="n"/>
      <c r="K1085" s="14" t="n"/>
      <c r="L1085" s="22" t="n"/>
      <c r="M1085" s="58" t="n"/>
      <c r="N1085" s="22" t="n"/>
      <c r="O1085" s="24">
        <f>IFERROR(IF(OR(M1085="",M1085=0),0,H1085*VALUE(SUBSTITUTE(M1085&amp;"","$",""))),0)</f>
        <v/>
      </c>
    </row>
    <row r="1086" hidden="1" outlineLevel="1" ht="16" customHeight="1">
      <c r="A1086" s="13" t="n"/>
      <c r="B1086" s="25" t="n"/>
      <c r="C1086" s="26" t="n"/>
      <c r="D1086" s="56" t="n"/>
      <c r="E1086" s="56" t="n"/>
      <c r="F1086" s="27" t="n"/>
      <c r="G1086" s="18">
        <f>IF(D1086="Tandem",10,IF(D1086="TT",22,IF(D1086="Quad",25,"")))</f>
        <v/>
      </c>
      <c r="H1086" s="28">
        <f>IFERROR(IF(F1086*G1086=0,0,F1086*G1086),0)</f>
        <v/>
      </c>
      <c r="I1086" s="29" t="n"/>
      <c r="J1086" s="57" t="n"/>
      <c r="K1086" s="25" t="n"/>
      <c r="L1086" s="30" t="n"/>
      <c r="M1086" s="58" t="n"/>
      <c r="N1086" s="30" t="n"/>
      <c r="O1086" s="24">
        <f>IFERROR(IF(OR(M1086="",M1086=0),0,H1086*VALUE(SUBSTITUTE(M1086&amp;"","$",""))),0)</f>
        <v/>
      </c>
    </row>
    <row r="1087" hidden="1" outlineLevel="1" ht="16" customHeight="1">
      <c r="A1087" s="13" t="n"/>
      <c r="B1087" s="14" t="n"/>
      <c r="C1087" s="15" t="n"/>
      <c r="D1087" s="56" t="n"/>
      <c r="E1087" s="56" t="n"/>
      <c r="F1087" s="17" t="n"/>
      <c r="G1087" s="18">
        <f>IF(D1087="Tandem",10,IF(D1087="TT",22,IF(D1087="Quad",25,"")))</f>
        <v/>
      </c>
      <c r="H1087" s="19">
        <f>IFERROR(IF(F1087*G1087=0,0,F1087*G1087),0)</f>
        <v/>
      </c>
      <c r="I1087" s="20" t="n"/>
      <c r="J1087" s="57" t="n"/>
      <c r="K1087" s="14" t="n"/>
      <c r="L1087" s="22" t="n"/>
      <c r="M1087" s="58" t="n"/>
      <c r="N1087" s="22" t="n"/>
      <c r="O1087" s="24">
        <f>IFERROR(IF(OR(M1087="",M1087=0),0,H1087*VALUE(SUBSTITUTE(M1087&amp;"","$",""))),0)</f>
        <v/>
      </c>
    </row>
    <row r="1088" hidden="1" outlineLevel="1" ht="16" customHeight="1">
      <c r="A1088" s="13" t="n"/>
      <c r="B1088" s="25" t="n"/>
      <c r="C1088" s="26" t="n"/>
      <c r="D1088" s="56" t="n"/>
      <c r="E1088" s="56" t="n"/>
      <c r="F1088" s="27" t="n"/>
      <c r="G1088" s="18">
        <f>IF(D1088="Tandem",10,IF(D1088="TT",22,IF(D1088="Quad",25,"")))</f>
        <v/>
      </c>
      <c r="H1088" s="28">
        <f>IFERROR(IF(F1088*G1088=0,0,F1088*G1088),0)</f>
        <v/>
      </c>
      <c r="I1088" s="29" t="n"/>
      <c r="J1088" s="57" t="n"/>
      <c r="K1088" s="25" t="n"/>
      <c r="L1088" s="30" t="n"/>
      <c r="M1088" s="58" t="n"/>
      <c r="N1088" s="30" t="n"/>
      <c r="O1088" s="24">
        <f>IFERROR(IF(OR(M1088="",M1088=0),0,H1088*VALUE(SUBSTITUTE(M1088&amp;"","$",""))),0)</f>
        <v/>
      </c>
    </row>
    <row r="1089" hidden="1" outlineLevel="1" ht="16" customHeight="1">
      <c r="A1089" s="13" t="n"/>
      <c r="B1089" s="14" t="n"/>
      <c r="C1089" s="15" t="n"/>
      <c r="D1089" s="56" t="n"/>
      <c r="E1089" s="56" t="n"/>
      <c r="F1089" s="17" t="n"/>
      <c r="G1089" s="18">
        <f>IF(D1089="Tandem",10,IF(D1089="TT",22,IF(D1089="Quad",25,"")))</f>
        <v/>
      </c>
      <c r="H1089" s="19">
        <f>IFERROR(IF(F1089*G1089=0,0,F1089*G1089),0)</f>
        <v/>
      </c>
      <c r="I1089" s="20" t="n"/>
      <c r="J1089" s="57" t="n"/>
      <c r="K1089" s="14" t="n"/>
      <c r="L1089" s="22" t="n"/>
      <c r="M1089" s="58" t="n"/>
      <c r="N1089" s="22" t="n"/>
      <c r="O1089" s="24">
        <f>IFERROR(IF(OR(M1089="",M1089=0),0,H1089*VALUE(SUBSTITUTE(M1089&amp;"","$",""))),0)</f>
        <v/>
      </c>
    </row>
    <row r="1090" hidden="1" outlineLevel="1" ht="16" customHeight="1">
      <c r="A1090" s="13" t="n"/>
      <c r="B1090" s="25" t="n"/>
      <c r="C1090" s="26" t="n"/>
      <c r="D1090" s="56" t="n"/>
      <c r="E1090" s="56" t="n"/>
      <c r="F1090" s="27" t="n"/>
      <c r="G1090" s="18">
        <f>IF(D1090="Tandem",10,IF(D1090="TT",22,IF(D1090="Quad",25,"")))</f>
        <v/>
      </c>
      <c r="H1090" s="28">
        <f>IFERROR(IF(F1090*G1090=0,0,F1090*G1090),0)</f>
        <v/>
      </c>
      <c r="I1090" s="29" t="n"/>
      <c r="J1090" s="57" t="n"/>
      <c r="K1090" s="25" t="n"/>
      <c r="L1090" s="30" t="n"/>
      <c r="M1090" s="58" t="n"/>
      <c r="N1090" s="30" t="n"/>
      <c r="O1090" s="24">
        <f>IFERROR(IF(OR(M1090="",M1090=0),0,H1090*VALUE(SUBSTITUTE(M1090&amp;"","$",""))),0)</f>
        <v/>
      </c>
    </row>
    <row r="1091" hidden="1" outlineLevel="1" ht="16" customHeight="1">
      <c r="A1091" s="13" t="n"/>
      <c r="B1091" s="14" t="n"/>
      <c r="C1091" s="15" t="n"/>
      <c r="D1091" s="56" t="n"/>
      <c r="E1091" s="56" t="n"/>
      <c r="F1091" s="17" t="n"/>
      <c r="G1091" s="18">
        <f>IF(D1091="Tandem",10,IF(D1091="TT",22,IF(D1091="Quad",25,"")))</f>
        <v/>
      </c>
      <c r="H1091" s="19">
        <f>IFERROR(IF(F1091*G1091=0,0,F1091*G1091),0)</f>
        <v/>
      </c>
      <c r="I1091" s="20" t="n"/>
      <c r="J1091" s="57" t="n"/>
      <c r="K1091" s="14" t="n"/>
      <c r="L1091" s="22" t="n"/>
      <c r="M1091" s="58" t="n"/>
      <c r="N1091" s="22" t="n"/>
      <c r="O1091" s="24">
        <f>IFERROR(IF(OR(M1091="",M1091=0),0,H1091*VALUE(SUBSTITUTE(M1091&amp;"","$",""))),0)</f>
        <v/>
      </c>
    </row>
    <row r="1092" hidden="1" outlineLevel="1" ht="16" customHeight="1">
      <c r="A1092" s="13" t="n"/>
      <c r="B1092" s="25" t="n"/>
      <c r="C1092" s="26" t="n"/>
      <c r="D1092" s="56" t="n"/>
      <c r="E1092" s="56" t="n"/>
      <c r="F1092" s="27" t="n"/>
      <c r="G1092" s="18">
        <f>IF(D1092="Tandem",10,IF(D1092="TT",22,IF(D1092="Quad",25,"")))</f>
        <v/>
      </c>
      <c r="H1092" s="28">
        <f>IFERROR(IF(F1092*G1092=0,0,F1092*G1092),0)</f>
        <v/>
      </c>
      <c r="I1092" s="29" t="n"/>
      <c r="J1092" s="57" t="n"/>
      <c r="K1092" s="25" t="n"/>
      <c r="L1092" s="30" t="n"/>
      <c r="M1092" s="58" t="n"/>
      <c r="N1092" s="30" t="n"/>
      <c r="O1092" s="24">
        <f>IFERROR(IF(OR(M1092="",M1092=0),0,H1092*VALUE(SUBSTITUTE(M1092&amp;"","$",""))),0)</f>
        <v/>
      </c>
    </row>
    <row r="1093" hidden="1" outlineLevel="1" ht="20" customHeight="1">
      <c r="A1093" s="59" t="inlineStr">
        <is>
          <t>Daily Notes:</t>
        </is>
      </c>
      <c r="B1093" s="54" t="n"/>
      <c r="C1093" s="54" t="n"/>
      <c r="D1093" s="54" t="n"/>
      <c r="E1093" s="54" t="n"/>
      <c r="F1093" s="54" t="n"/>
      <c r="G1093" s="54" t="n"/>
      <c r="H1093" s="54" t="n"/>
      <c r="I1093" s="54" t="n"/>
      <c r="J1093" s="54" t="n"/>
      <c r="K1093" s="54" t="n"/>
      <c r="L1093" s="54" t="n"/>
      <c r="M1093" s="54" t="n"/>
      <c r="N1093" s="50" t="n"/>
      <c r="O1093" s="60" t="n"/>
    </row>
    <row r="1094" hidden="1" outlineLevel="1" ht="18" customHeight="1">
      <c r="A1094" s="32" t="inlineStr">
        <is>
          <t>DAILY TOTAL</t>
        </is>
      </c>
      <c r="B1094" s="54" t="n"/>
      <c r="C1094" s="54" t="n"/>
      <c r="D1094" s="54" t="n"/>
      <c r="E1094" s="54" t="n"/>
      <c r="F1094" s="54" t="n"/>
      <c r="G1094" s="50" t="n"/>
      <c r="H1094" s="34">
        <f>SUM(H1063:H1092)</f>
        <v/>
      </c>
      <c r="I1094" s="35">
        <f>SUM(I1063:I1092)</f>
        <v/>
      </c>
      <c r="J1094" s="61" t="n"/>
      <c r="K1094" s="61" t="n"/>
      <c r="L1094" s="61" t="n"/>
      <c r="M1094" s="36">
        <f>SUM(O1063:O1092)</f>
        <v/>
      </c>
      <c r="N1094" s="61" t="n"/>
      <c r="O1094" s="62" t="n"/>
    </row>
    <row r="1095" hidden="1" outlineLevel="1" ht="18" customHeight="1">
      <c r="A1095" s="2" t="inlineStr">
        <is>
          <t>▶ RUNNING TOTAL</t>
        </is>
      </c>
      <c r="B1095" s="54" t="n"/>
      <c r="C1095" s="54" t="n"/>
      <c r="D1095" s="54" t="n"/>
      <c r="E1095" s="54" t="n"/>
      <c r="F1095" s="54" t="n"/>
      <c r="G1095" s="50" t="n"/>
      <c r="H1095" s="37">
        <f>H50+H86+H122+H158+H194+H230+H266+H302+H338+H374+H410+H446+H482+H518+H554+H590+H626+H662+H698+H734+H770+H806+H842+H878+H914+H950+H986+H1022+H1058+H1094</f>
        <v/>
      </c>
      <c r="I1095" s="63" t="n"/>
      <c r="J1095" s="63" t="n"/>
      <c r="K1095" s="63" t="n"/>
      <c r="L1095" s="63" t="n"/>
      <c r="M1095" s="38">
        <f>M50+M86+M122+M158+M194+M230+M266+M302+M338+M374+M410+M446+M482+M518+M554+M590+M626+M662+M698+M734+M770+M806+M842+M878+M914+M950+M986+M1022+M1058+M1094</f>
        <v/>
      </c>
      <c r="N1095" s="63" t="n"/>
      <c r="O1095" s="64" t="n"/>
    </row>
    <row r="1096" hidden="1" outlineLevel="1" ht="10" customHeight="1"/>
    <row r="1097" ht="10" customHeight="1">
      <c r="J1097" s="78" t="n"/>
      <c r="K1097" s="78" t="n"/>
      <c r="L1097" s="78" t="n"/>
      <c r="M1097" s="78" t="n"/>
      <c r="N1097" s="78" t="n"/>
      <c r="O1097" s="78" t="n"/>
      <c r="P1097" s="78" t="n"/>
      <c r="Q1097" s="78" t="n"/>
      <c r="R1097" s="78" t="n"/>
      <c r="S1097" s="78" t="n"/>
    </row>
    <row r="1098" ht="22" customHeight="1">
      <c r="A1098" s="117" t="inlineStr">
        <is>
          <t>ACTUAL COSTS  —  Auto-fills from day register</t>
        </is>
      </c>
      <c r="B1098" s="48" t="n"/>
      <c r="C1098" s="48" t="n"/>
      <c r="D1098" s="48" t="n"/>
      <c r="E1098" s="48" t="n"/>
      <c r="F1098" s="48" t="n"/>
      <c r="G1098" s="48" t="n"/>
      <c r="H1098" s="49" t="n"/>
      <c r="J1098" s="78" t="n"/>
      <c r="K1098" s="78" t="n"/>
      <c r="L1098" s="78" t="n"/>
      <c r="M1098" s="78" t="n"/>
      <c r="N1098" s="78" t="n"/>
      <c r="O1098" s="78" t="n"/>
      <c r="P1098" s="78" t="n"/>
      <c r="Q1098" s="78" t="n"/>
      <c r="R1098" s="78" t="n"/>
      <c r="S1098" s="78" t="n"/>
    </row>
    <row r="1099" ht="36" customHeight="1">
      <c r="A1099" s="12" t="inlineStr">
        <is>
          <t>Material</t>
        </is>
      </c>
      <c r="B1099" s="118" t="inlineStr">
        <is>
          <t>Actual m³
(carted)</t>
        </is>
      </c>
      <c r="C1099" s="100" t="inlineStr">
        <is>
          <t>Avg Rate
Paid ($/m³)</t>
        </is>
      </c>
      <c r="D1099" s="100" t="inlineStr">
        <is>
          <t>Actual Cost
($)</t>
        </is>
      </c>
      <c r="E1099" s="125" t="inlineStr">
        <is>
          <t>BOQ Rate
($/m³)</t>
        </is>
      </c>
      <c r="F1099" s="102" t="inlineStr">
        <is>
          <t>Revenue
($)</t>
        </is>
      </c>
      <c r="G1099" s="102" t="inlineStr">
        <is>
          <t>Profit
($)</t>
        </is>
      </c>
      <c r="H1099" s="102" t="inlineStr">
        <is>
          <t>Margin %</t>
        </is>
      </c>
      <c r="J1099" s="78" t="n"/>
      <c r="K1099" s="78" t="n"/>
      <c r="L1099" s="78" t="n"/>
      <c r="M1099" s="78" t="n"/>
      <c r="N1099" s="78" t="n"/>
      <c r="O1099" s="78" t="n"/>
      <c r="P1099" s="78" t="n"/>
      <c r="Q1099" s="78" t="n"/>
      <c r="R1099" s="78" t="n"/>
      <c r="S1099" s="78" t="n"/>
    </row>
    <row r="1100" ht="18" customHeight="1">
      <c r="A1100" s="5" t="inlineStr">
        <is>
          <t>Clean Fill</t>
        </is>
      </c>
      <c r="B1100" s="120">
        <f>IFERROR(SUMIF(J19:J48,"Clean Fill",H19:H48)+SUMIF(J55:J84,"Clean Fill",H55:H84)+SUMIF(J91:J120,"Clean Fill",H91:H120)+SUMIF(J127:J156,"Clean Fill",H127:H156)+SUMIF(J163:J192,"Clean Fill",H163:H192)+SUMIF(J199:J228,"Clean Fill",H199:H228)+SUMIF(J235:J264,"Clean Fill",H235:H264)+SUMIF(J271:J300,"Clean Fill",H271:H300)+SUMIF(J307:J336,"Clean Fill",H307:H336)+SUMIF(J343:J372,"Clean Fill",H343:H372)+SUMIF(J379:J408,"Clean Fill",H379:H408)+SUMIF(J415:J444,"Clean Fill",H415:H444)+SUMIF(J451:J480,"Clean Fill",H451:H480)+SUMIF(J487:J516,"Clean Fill",H487:H516)+SUMIF(J523:J552,"Clean Fill",H523:H552)+SUMIF(J559:J588,"Clean Fill",H559:H588)+SUMIF(J595:J624,"Clean Fill",H595:H624)+SUMIF(J631:J660,"Clean Fill",H631:H660)+SUMIF(J667:J696,"Clean Fill",H667:H696)+SUMIF(J703:J732,"Clean Fill",H703:H732)+SUMIF(J739:J768,"Clean Fill",H739:H768)+SUMIF(J775:J804,"Clean Fill",H775:H804)+SUMIF(J811:J840,"Clean Fill",H811:H840)+SUMIF(J847:J876,"Clean Fill",H847:H876)+SUMIF(J883:J912,"Clean Fill",H883:H912)+SUMIF(J919:J948,"Clean Fill",H919:H948)+SUMIF(J955:J984,"Clean Fill",H955:H984)+SUMIF(J991:J1020,"Clean Fill",H991:H1020)+SUMIF(J1027:J1056,"Clean Fill",H1027:H1056)+SUMIF(J1063:J1092,"Clean Fill",H1063:H1092),0)</f>
        <v/>
      </c>
      <c r="C1100" s="104">
        <f>IFERROR((SUMIF(J19:J48,"Clean Fill",O19:O48)+SUMIF(J55:J84,"Clean Fill",O55:O84)+SUMIF(J91:J120,"Clean Fill",O91:O120)+SUMIF(J127:J156,"Clean Fill",O127:O156)+SUMIF(J163:J192,"Clean Fill",O163:O192)+SUMIF(J199:J228,"Clean Fill",O199:O228)+SUMIF(J235:J264,"Clean Fill",O235:O264)+SUMIF(J271:J300,"Clean Fill",O271:O300)+SUMIF(J307:J336,"Clean Fill",O307:O336)+SUMIF(J343:J372,"Clean Fill",O343:O372)+SUMIF(J379:J408,"Clean Fill",O379:O408)+SUMIF(J415:J444,"Clean Fill",O415:O444)+SUMIF(J451:J480,"Clean Fill",O451:O480)+SUMIF(J487:J516,"Clean Fill",O487:O516)+SUMIF(J523:J552,"Clean Fill",O523:O552)+SUMIF(J559:J588,"Clean Fill",O559:O588)+SUMIF(J595:J624,"Clean Fill",O595:O624)+SUMIF(J631:J660,"Clean Fill",O631:O660)+SUMIF(J667:J696,"Clean Fill",O667:O696)+SUMIF(J703:J732,"Clean Fill",O703:O732)+SUMIF(J739:J768,"Clean Fill",O739:O768)+SUMIF(J775:J804,"Clean Fill",O775:O804)+SUMIF(J811:J840,"Clean Fill",O811:O840)+SUMIF(J847:J876,"Clean Fill",O847:O876)+SUMIF(J883:J912,"Clean Fill",O883:O912)+SUMIF(J919:J948,"Clean Fill",O919:O948)+SUMIF(J955:J984,"Clean Fill",O955:O984)+SUMIF(J991:J1020,"Clean Fill",O991:O1020)+SUMIF(J1027:J1056,"Clean Fill",O1027:O1056)+SUMIF(J1063:J1092,"Clean Fill",O1063:O1092))/(SUMIF(J19:J48,"Clean Fill",H19:H48)+SUMIF(J55:J84,"Clean Fill",H55:H84)+SUMIF(J91:J120,"Clean Fill",H91:H120)+SUMIF(J127:J156,"Clean Fill",H127:H156)+SUMIF(J163:J192,"Clean Fill",H163:H192)+SUMIF(J199:J228,"Clean Fill",H199:H228)+SUMIF(J235:J264,"Clean Fill",H235:H264)+SUMIF(J271:J300,"Clean Fill",H271:H300)+SUMIF(J307:J336,"Clean Fill",H307:H336)+SUMIF(J343:J372,"Clean Fill",H343:H372)+SUMIF(J379:J408,"Clean Fill",H379:H408)+SUMIF(J415:J444,"Clean Fill",H415:H444)+SUMIF(J451:J480,"Clean Fill",H451:H480)+SUMIF(J487:J516,"Clean Fill",H487:H516)+SUMIF(J523:J552,"Clean Fill",H523:H552)+SUMIF(J559:J588,"Clean Fill",H559:H588)+SUMIF(J595:J624,"Clean Fill",H595:H624)+SUMIF(J631:J660,"Clean Fill",H631:H660)+SUMIF(J667:J696,"Clean Fill",H667:H696)+SUMIF(J703:J732,"Clean Fill",H703:H732)+SUMIF(J739:J768,"Clean Fill",H739:H768)+SUMIF(J775:J804,"Clean Fill",H775:H804)+SUMIF(J811:J840,"Clean Fill",H811:H840)+SUMIF(J847:J876,"Clean Fill",H847:H876)+SUMIF(J883:J912,"Clean Fill",H883:H912)+SUMIF(J919:J948,"Clean Fill",H919:H948)+SUMIF(J955:J984,"Clean Fill",H955:H984)+SUMIF(J991:J1020,"Clean Fill",H991:H1020)+SUMIF(J1027:J1056,"Clean Fill",H1027:H1056)+SUMIF(J1063:J1092,"Clean Fill",H1063:H1092)),0)</f>
        <v/>
      </c>
      <c r="D1100" s="104">
        <f>IFERROR(SUMIF(J19:J48,"Clean Fill",O19:O48)+SUMIF(J55:J84,"Clean Fill",O55:O84)+SUMIF(J91:J120,"Clean Fill",O91:O120)+SUMIF(J127:J156,"Clean Fill",O127:O156)+SUMIF(J163:J192,"Clean Fill",O163:O192)+SUMIF(J199:J228,"Clean Fill",O199:O228)+SUMIF(J235:J264,"Clean Fill",O235:O264)+SUMIF(J271:J300,"Clean Fill",O271:O300)+SUMIF(J307:J336,"Clean Fill",O307:O336)+SUMIF(J343:J372,"Clean Fill",O343:O372)+SUMIF(J379:J408,"Clean Fill",O379:O408)+SUMIF(J415:J444,"Clean Fill",O415:O444)+SUMIF(J451:J480,"Clean Fill",O451:O480)+SUMIF(J487:J516,"Clean Fill",O487:O516)+SUMIF(J523:J552,"Clean Fill",O523:O552)+SUMIF(J559:J588,"Clean Fill",O559:O588)+SUMIF(J595:J624,"Clean Fill",O595:O624)+SUMIF(J631:J660,"Clean Fill",O631:O660)+SUMIF(J667:J696,"Clean Fill",O667:O696)+SUMIF(J703:J732,"Clean Fill",O703:O732)+SUMIF(J739:J768,"Clean Fill",O739:O768)+SUMIF(J775:J804,"Clean Fill",O775:O804)+SUMIF(J811:J840,"Clean Fill",O811:O840)+SUMIF(J847:J876,"Clean Fill",O847:O876)+SUMIF(J883:J912,"Clean Fill",O883:O912)+SUMIF(J919:J948,"Clean Fill",O919:O948)+SUMIF(J955:J984,"Clean Fill",O955:O984)+SUMIF(J991:J1020,"Clean Fill",O991:O1020)+SUMIF(J1027:J1056,"Clean Fill",O1027:O1056)+SUMIF(J1063:J1092,"Clean Fill",O1063:O1092),0)</f>
        <v/>
      </c>
      <c r="E1100" s="90">
        <f>IFERROR(SUMIF(A5:A12,A1100,F5:F12),0)</f>
        <v/>
      </c>
      <c r="F1100" s="121">
        <f>IFERROR(B1100*E1100,0)</f>
        <v/>
      </c>
      <c r="G1100" s="121">
        <f>IFERROR(F1100-D1100,0)</f>
        <v/>
      </c>
      <c r="H1100" s="91">
        <f>IFERROR(G1100/F1100,0)</f>
        <v/>
      </c>
      <c r="I1100" s="87" t="n"/>
      <c r="J1100" s="78" t="n"/>
      <c r="K1100" s="123" t="n"/>
      <c r="L1100" s="124" t="n"/>
      <c r="M1100" s="124" t="n"/>
      <c r="N1100" s="124" t="n"/>
      <c r="O1100" s="123" t="n"/>
      <c r="P1100" s="124" t="n"/>
      <c r="Q1100" s="124" t="n"/>
      <c r="R1100" s="124" t="n"/>
      <c r="S1100" s="114" t="n"/>
    </row>
    <row r="1101" ht="18" customHeight="1">
      <c r="A1101" s="42" t="inlineStr">
        <is>
          <t>Mixed Fill</t>
        </is>
      </c>
      <c r="B1101" s="120">
        <f>IFERROR(SUMIF(J19:J48,"Mixed Fill",H19:H48)+SUMIF(J55:J84,"Mixed Fill",H55:H84)+SUMIF(J91:J120,"Mixed Fill",H91:H120)+SUMIF(J127:J156,"Mixed Fill",H127:H156)+SUMIF(J163:J192,"Mixed Fill",H163:H192)+SUMIF(J199:J228,"Mixed Fill",H199:H228)+SUMIF(J235:J264,"Mixed Fill",H235:H264)+SUMIF(J271:J300,"Mixed Fill",H271:H300)+SUMIF(J307:J336,"Mixed Fill",H307:H336)+SUMIF(J343:J372,"Mixed Fill",H343:H372)+SUMIF(J379:J408,"Mixed Fill",H379:H408)+SUMIF(J415:J444,"Mixed Fill",H415:H444)+SUMIF(J451:J480,"Mixed Fill",H451:H480)+SUMIF(J487:J516,"Mixed Fill",H487:H516)+SUMIF(J523:J552,"Mixed Fill",H523:H552)+SUMIF(J559:J588,"Mixed Fill",H559:H588)+SUMIF(J595:J624,"Mixed Fill",H595:H624)+SUMIF(J631:J660,"Mixed Fill",H631:H660)+SUMIF(J667:J696,"Mixed Fill",H667:H696)+SUMIF(J703:J732,"Mixed Fill",H703:H732)+SUMIF(J739:J768,"Mixed Fill",H739:H768)+SUMIF(J775:J804,"Mixed Fill",H775:H804)+SUMIF(J811:J840,"Mixed Fill",H811:H840)+SUMIF(J847:J876,"Mixed Fill",H847:H876)+SUMIF(J883:J912,"Mixed Fill",H883:H912)+SUMIF(J919:J948,"Mixed Fill",H919:H948)+SUMIF(J955:J984,"Mixed Fill",H955:H984)+SUMIF(J991:J1020,"Mixed Fill",H991:H1020)+SUMIF(J1027:J1056,"Mixed Fill",H1027:H1056)+SUMIF(J1063:J1092,"Mixed Fill",H1063:H1092),0)</f>
        <v/>
      </c>
      <c r="C1101" s="104">
        <f>IFERROR((SUMIF(J19:J48,"Mixed Fill",O19:O48)+SUMIF(J55:J84,"Mixed Fill",O55:O84)+SUMIF(J91:J120,"Mixed Fill",O91:O120)+SUMIF(J127:J156,"Mixed Fill",O127:O156)+SUMIF(J163:J192,"Mixed Fill",O163:O192)+SUMIF(J199:J228,"Mixed Fill",O199:O228)+SUMIF(J235:J264,"Mixed Fill",O235:O264)+SUMIF(J271:J300,"Mixed Fill",O271:O300)+SUMIF(J307:J336,"Mixed Fill",O307:O336)+SUMIF(J343:J372,"Mixed Fill",O343:O372)+SUMIF(J379:J408,"Mixed Fill",O379:O408)+SUMIF(J415:J444,"Mixed Fill",O415:O444)+SUMIF(J451:J480,"Mixed Fill",O451:O480)+SUMIF(J487:J516,"Mixed Fill",O487:O516)+SUMIF(J523:J552,"Mixed Fill",O523:O552)+SUMIF(J559:J588,"Mixed Fill",O559:O588)+SUMIF(J595:J624,"Mixed Fill",O595:O624)+SUMIF(J631:J660,"Mixed Fill",O631:O660)+SUMIF(J667:J696,"Mixed Fill",O667:O696)+SUMIF(J703:J732,"Mixed Fill",O703:O732)+SUMIF(J739:J768,"Mixed Fill",O739:O768)+SUMIF(J775:J804,"Mixed Fill",O775:O804)+SUMIF(J811:J840,"Mixed Fill",O811:O840)+SUMIF(J847:J876,"Mixed Fill",O847:O876)+SUMIF(J883:J912,"Mixed Fill",O883:O912)+SUMIF(J919:J948,"Mixed Fill",O919:O948)+SUMIF(J955:J984,"Mixed Fill",O955:O984)+SUMIF(J991:J1020,"Mixed Fill",O991:O1020)+SUMIF(J1027:J1056,"Mixed Fill",O1027:O1056)+SUMIF(J1063:J1092,"Mixed Fill",O1063:O1092))/(SUMIF(J19:J48,"Mixed Fill",H19:H48)+SUMIF(J55:J84,"Mixed Fill",H55:H84)+SUMIF(J91:J120,"Mixed Fill",H91:H120)+SUMIF(J127:J156,"Mixed Fill",H127:H156)+SUMIF(J163:J192,"Mixed Fill",H163:H192)+SUMIF(J199:J228,"Mixed Fill",H199:H228)+SUMIF(J235:J264,"Mixed Fill",H235:H264)+SUMIF(J271:J300,"Mixed Fill",H271:H300)+SUMIF(J307:J336,"Mixed Fill",H307:H336)+SUMIF(J343:J372,"Mixed Fill",H343:H372)+SUMIF(J379:J408,"Mixed Fill",H379:H408)+SUMIF(J415:J444,"Mixed Fill",H415:H444)+SUMIF(J451:J480,"Mixed Fill",H451:H480)+SUMIF(J487:J516,"Mixed Fill",H487:H516)+SUMIF(J523:J552,"Mixed Fill",H523:H552)+SUMIF(J559:J588,"Mixed Fill",H559:H588)+SUMIF(J595:J624,"Mixed Fill",H595:H624)+SUMIF(J631:J660,"Mixed Fill",H631:H660)+SUMIF(J667:J696,"Mixed Fill",H667:H696)+SUMIF(J703:J732,"Mixed Fill",H703:H732)+SUMIF(J739:J768,"Mixed Fill",H739:H768)+SUMIF(J775:J804,"Mixed Fill",H775:H804)+SUMIF(J811:J840,"Mixed Fill",H811:H840)+SUMIF(J847:J876,"Mixed Fill",H847:H876)+SUMIF(J883:J912,"Mixed Fill",H883:H912)+SUMIF(J919:J948,"Mixed Fill",H919:H948)+SUMIF(J955:J984,"Mixed Fill",H955:H984)+SUMIF(J991:J1020,"Mixed Fill",H991:H1020)+SUMIF(J1027:J1056,"Mixed Fill",H1027:H1056)+SUMIF(J1063:J1092,"Mixed Fill",H1063:H1092)),0)</f>
        <v/>
      </c>
      <c r="D1101" s="104">
        <f>IFERROR(SUMIF(J19:J48,"Mixed Fill",O19:O48)+SUMIF(J55:J84,"Mixed Fill",O55:O84)+SUMIF(J91:J120,"Mixed Fill",O91:O120)+SUMIF(J127:J156,"Mixed Fill",O127:O156)+SUMIF(J163:J192,"Mixed Fill",O163:O192)+SUMIF(J199:J228,"Mixed Fill",O199:O228)+SUMIF(J235:J264,"Mixed Fill",O235:O264)+SUMIF(J271:J300,"Mixed Fill",O271:O300)+SUMIF(J307:J336,"Mixed Fill",O307:O336)+SUMIF(J343:J372,"Mixed Fill",O343:O372)+SUMIF(J379:J408,"Mixed Fill",O379:O408)+SUMIF(J415:J444,"Mixed Fill",O415:O444)+SUMIF(J451:J480,"Mixed Fill",O451:O480)+SUMIF(J487:J516,"Mixed Fill",O487:O516)+SUMIF(J523:J552,"Mixed Fill",O523:O552)+SUMIF(J559:J588,"Mixed Fill",O559:O588)+SUMIF(J595:J624,"Mixed Fill",O595:O624)+SUMIF(J631:J660,"Mixed Fill",O631:O660)+SUMIF(J667:J696,"Mixed Fill",O667:O696)+SUMIF(J703:J732,"Mixed Fill",O703:O732)+SUMIF(J739:J768,"Mixed Fill",O739:O768)+SUMIF(J775:J804,"Mixed Fill",O775:O804)+SUMIF(J811:J840,"Mixed Fill",O811:O840)+SUMIF(J847:J876,"Mixed Fill",O847:O876)+SUMIF(J883:J912,"Mixed Fill",O883:O912)+SUMIF(J919:J948,"Mixed Fill",O919:O948)+SUMIF(J955:J984,"Mixed Fill",O955:O984)+SUMIF(J991:J1020,"Mixed Fill",O991:O1020)+SUMIF(J1027:J1056,"Mixed Fill",O1027:O1056)+SUMIF(J1063:J1092,"Mixed Fill",O1063:O1092),0)</f>
        <v/>
      </c>
      <c r="E1101" s="90">
        <f>IFERROR(SUMIF(A5:A12,A1101,F5:F12),0)</f>
        <v/>
      </c>
      <c r="F1101" s="121">
        <f>IFERROR(B1101*E1101,0)</f>
        <v/>
      </c>
      <c r="G1101" s="121">
        <f>IFERROR(F1101-D1101,0)</f>
        <v/>
      </c>
      <c r="H1101" s="91">
        <f>IFERROR(G1101/F1101,0)</f>
        <v/>
      </c>
      <c r="I1101" s="87" t="n"/>
      <c r="J1101" s="78" t="n"/>
      <c r="K1101" s="123" t="n"/>
      <c r="L1101" s="124" t="n"/>
      <c r="M1101" s="124" t="n"/>
      <c r="N1101" s="124" t="n"/>
      <c r="O1101" s="123" t="n"/>
      <c r="P1101" s="124" t="n"/>
      <c r="Q1101" s="124" t="n"/>
      <c r="R1101" s="124" t="n"/>
      <c r="S1101" s="114" t="n"/>
    </row>
    <row r="1102" ht="18" customHeight="1">
      <c r="A1102" s="5" t="inlineStr">
        <is>
          <t>Topsoil</t>
        </is>
      </c>
      <c r="B1102" s="120">
        <f>IFERROR(SUMIF(J19:J48,"Topsoil",H19:H48)+SUMIF(J55:J84,"Topsoil",H55:H84)+SUMIF(J91:J120,"Topsoil",H91:H120)+SUMIF(J127:J156,"Topsoil",H127:H156)+SUMIF(J163:J192,"Topsoil",H163:H192)+SUMIF(J199:J228,"Topsoil",H199:H228)+SUMIF(J235:J264,"Topsoil",H235:H264)+SUMIF(J271:J300,"Topsoil",H271:H300)+SUMIF(J307:J336,"Topsoil",H307:H336)+SUMIF(J343:J372,"Topsoil",H343:H372)+SUMIF(J379:J408,"Topsoil",H379:H408)+SUMIF(J415:J444,"Topsoil",H415:H444)+SUMIF(J451:J480,"Topsoil",H451:H480)+SUMIF(J487:J516,"Topsoil",H487:H516)+SUMIF(J523:J552,"Topsoil",H523:H552)+SUMIF(J559:J588,"Topsoil",H559:H588)+SUMIF(J595:J624,"Topsoil",H595:H624)+SUMIF(J631:J660,"Topsoil",H631:H660)+SUMIF(J667:J696,"Topsoil",H667:H696)+SUMIF(J703:J732,"Topsoil",H703:H732)+SUMIF(J739:J768,"Topsoil",H739:H768)+SUMIF(J775:J804,"Topsoil",H775:H804)+SUMIF(J811:J840,"Topsoil",H811:H840)+SUMIF(J847:J876,"Topsoil",H847:H876)+SUMIF(J883:J912,"Topsoil",H883:H912)+SUMIF(J919:J948,"Topsoil",H919:H948)+SUMIF(J955:J984,"Topsoil",H955:H984)+SUMIF(J991:J1020,"Topsoil",H991:H1020)+SUMIF(J1027:J1056,"Topsoil",H1027:H1056)+SUMIF(J1063:J1092,"Topsoil",H1063:H1092),0)</f>
        <v/>
      </c>
      <c r="C1102" s="104">
        <f>IFERROR((SUMIF(J19:J48,"Topsoil",O19:O48)+SUMIF(J55:J84,"Topsoil",O55:O84)+SUMIF(J91:J120,"Topsoil",O91:O120)+SUMIF(J127:J156,"Topsoil",O127:O156)+SUMIF(J163:J192,"Topsoil",O163:O192)+SUMIF(J199:J228,"Topsoil",O199:O228)+SUMIF(J235:J264,"Topsoil",O235:O264)+SUMIF(J271:J300,"Topsoil",O271:O300)+SUMIF(J307:J336,"Topsoil",O307:O336)+SUMIF(J343:J372,"Topsoil",O343:O372)+SUMIF(J379:J408,"Topsoil",O379:O408)+SUMIF(J415:J444,"Topsoil",O415:O444)+SUMIF(J451:J480,"Topsoil",O451:O480)+SUMIF(J487:J516,"Topsoil",O487:O516)+SUMIF(J523:J552,"Topsoil",O523:O552)+SUMIF(J559:J588,"Topsoil",O559:O588)+SUMIF(J595:J624,"Topsoil",O595:O624)+SUMIF(J631:J660,"Topsoil",O631:O660)+SUMIF(J667:J696,"Topsoil",O667:O696)+SUMIF(J703:J732,"Topsoil",O703:O732)+SUMIF(J739:J768,"Topsoil",O739:O768)+SUMIF(J775:J804,"Topsoil",O775:O804)+SUMIF(J811:J840,"Topsoil",O811:O840)+SUMIF(J847:J876,"Topsoil",O847:O876)+SUMIF(J883:J912,"Topsoil",O883:O912)+SUMIF(J919:J948,"Topsoil",O919:O948)+SUMIF(J955:J984,"Topsoil",O955:O984)+SUMIF(J991:J1020,"Topsoil",O991:O1020)+SUMIF(J1027:J1056,"Topsoil",O1027:O1056)+SUMIF(J1063:J1092,"Topsoil",O1063:O1092))/(SUMIF(J19:J48,"Topsoil",H19:H48)+SUMIF(J55:J84,"Topsoil",H55:H84)+SUMIF(J91:J120,"Topsoil",H91:H120)+SUMIF(J127:J156,"Topsoil",H127:H156)+SUMIF(J163:J192,"Topsoil",H163:H192)+SUMIF(J199:J228,"Topsoil",H199:H228)+SUMIF(J235:J264,"Topsoil",H235:H264)+SUMIF(J271:J300,"Topsoil",H271:H300)+SUMIF(J307:J336,"Topsoil",H307:H336)+SUMIF(J343:J372,"Topsoil",H343:H372)+SUMIF(J379:J408,"Topsoil",H379:H408)+SUMIF(J415:J444,"Topsoil",H415:H444)+SUMIF(J451:J480,"Topsoil",H451:H480)+SUMIF(J487:J516,"Topsoil",H487:H516)+SUMIF(J523:J552,"Topsoil",H523:H552)+SUMIF(J559:J588,"Topsoil",H559:H588)+SUMIF(J595:J624,"Topsoil",H595:H624)+SUMIF(J631:J660,"Topsoil",H631:H660)+SUMIF(J667:J696,"Topsoil",H667:H696)+SUMIF(J703:J732,"Topsoil",H703:H732)+SUMIF(J739:J768,"Topsoil",H739:H768)+SUMIF(J775:J804,"Topsoil",H775:H804)+SUMIF(J811:J840,"Topsoil",H811:H840)+SUMIF(J847:J876,"Topsoil",H847:H876)+SUMIF(J883:J912,"Topsoil",H883:H912)+SUMIF(J919:J948,"Topsoil",H919:H948)+SUMIF(J955:J984,"Topsoil",H955:H984)+SUMIF(J991:J1020,"Topsoil",H991:H1020)+SUMIF(J1027:J1056,"Topsoil",H1027:H1056)+SUMIF(J1063:J1092,"Topsoil",H1063:H1092)),0)</f>
        <v/>
      </c>
      <c r="D1102" s="104">
        <f>IFERROR(SUMIF(J19:J48,"Topsoil",O19:O48)+SUMIF(J55:J84,"Topsoil",O55:O84)+SUMIF(J91:J120,"Topsoil",O91:O120)+SUMIF(J127:J156,"Topsoil",O127:O156)+SUMIF(J163:J192,"Topsoil",O163:O192)+SUMIF(J199:J228,"Topsoil",O199:O228)+SUMIF(J235:J264,"Topsoil",O235:O264)+SUMIF(J271:J300,"Topsoil",O271:O300)+SUMIF(J307:J336,"Topsoil",O307:O336)+SUMIF(J343:J372,"Topsoil",O343:O372)+SUMIF(J379:J408,"Topsoil",O379:O408)+SUMIF(J415:J444,"Topsoil",O415:O444)+SUMIF(J451:J480,"Topsoil",O451:O480)+SUMIF(J487:J516,"Topsoil",O487:O516)+SUMIF(J523:J552,"Topsoil",O523:O552)+SUMIF(J559:J588,"Topsoil",O559:O588)+SUMIF(J595:J624,"Topsoil",O595:O624)+SUMIF(J631:J660,"Topsoil",O631:O660)+SUMIF(J667:J696,"Topsoil",O667:O696)+SUMIF(J703:J732,"Topsoil",O703:O732)+SUMIF(J739:J768,"Topsoil",O739:O768)+SUMIF(J775:J804,"Topsoil",O775:O804)+SUMIF(J811:J840,"Topsoil",O811:O840)+SUMIF(J847:J876,"Topsoil",O847:O876)+SUMIF(J883:J912,"Topsoil",O883:O912)+SUMIF(J919:J948,"Topsoil",O919:O948)+SUMIF(J955:J984,"Topsoil",O955:O984)+SUMIF(J991:J1020,"Topsoil",O991:O1020)+SUMIF(J1027:J1056,"Topsoil",O1027:O1056)+SUMIF(J1063:J1092,"Topsoil",O1063:O1092),0)</f>
        <v/>
      </c>
      <c r="E1102" s="90">
        <f>IFERROR(SUMIF(A5:A12,A1102,F5:F12),0)</f>
        <v/>
      </c>
      <c r="F1102" s="121">
        <f>IFERROR(B1102*E1102,0)</f>
        <v/>
      </c>
      <c r="G1102" s="121">
        <f>IFERROR(F1102-D1102,0)</f>
        <v/>
      </c>
      <c r="H1102" s="91">
        <f>IFERROR(G1102/F1102,0)</f>
        <v/>
      </c>
      <c r="I1102" s="87" t="n"/>
      <c r="J1102" s="78" t="n"/>
      <c r="K1102" s="123" t="n"/>
      <c r="L1102" s="124" t="n"/>
      <c r="M1102" s="124" t="n"/>
      <c r="N1102" s="124" t="n"/>
      <c r="O1102" s="123" t="n"/>
      <c r="P1102" s="124" t="n"/>
      <c r="Q1102" s="124" t="n"/>
      <c r="R1102" s="124" t="n"/>
      <c r="S1102" s="114" t="n"/>
    </row>
    <row r="1103" ht="18" customHeight="1">
      <c r="A1103" s="42" t="inlineStr">
        <is>
          <t>Vegetation</t>
        </is>
      </c>
      <c r="B1103" s="120">
        <f>IFERROR(SUMIF(J19:J48,"Vegetation",H19:H48)+SUMIF(J55:J84,"Vegetation",H55:H84)+SUMIF(J91:J120,"Vegetation",H91:H120)+SUMIF(J127:J156,"Vegetation",H127:H156)+SUMIF(J163:J192,"Vegetation",H163:H192)+SUMIF(J199:J228,"Vegetation",H199:H228)+SUMIF(J235:J264,"Vegetation",H235:H264)+SUMIF(J271:J300,"Vegetation",H271:H300)+SUMIF(J307:J336,"Vegetation",H307:H336)+SUMIF(J343:J372,"Vegetation",H343:H372)+SUMIF(J379:J408,"Vegetation",H379:H408)+SUMIF(J415:J444,"Vegetation",H415:H444)+SUMIF(J451:J480,"Vegetation",H451:H480)+SUMIF(J487:J516,"Vegetation",H487:H516)+SUMIF(J523:J552,"Vegetation",H523:H552)+SUMIF(J559:J588,"Vegetation",H559:H588)+SUMIF(J595:J624,"Vegetation",H595:H624)+SUMIF(J631:J660,"Vegetation",H631:H660)+SUMIF(J667:J696,"Vegetation",H667:H696)+SUMIF(J703:J732,"Vegetation",H703:H732)+SUMIF(J739:J768,"Vegetation",H739:H768)+SUMIF(J775:J804,"Vegetation",H775:H804)+SUMIF(J811:J840,"Vegetation",H811:H840)+SUMIF(J847:J876,"Vegetation",H847:H876)+SUMIF(J883:J912,"Vegetation",H883:H912)+SUMIF(J919:J948,"Vegetation",H919:H948)+SUMIF(J955:J984,"Vegetation",H955:H984)+SUMIF(J991:J1020,"Vegetation",H991:H1020)+SUMIF(J1027:J1056,"Vegetation",H1027:H1056)+SUMIF(J1063:J1092,"Vegetation",H1063:H1092),0)</f>
        <v/>
      </c>
      <c r="C1103" s="104">
        <f>IFERROR((SUMIF(J19:J48,"Vegetation",O19:O48)+SUMIF(J55:J84,"Vegetation",O55:O84)+SUMIF(J91:J120,"Vegetation",O91:O120)+SUMIF(J127:J156,"Vegetation",O127:O156)+SUMIF(J163:J192,"Vegetation",O163:O192)+SUMIF(J199:J228,"Vegetation",O199:O228)+SUMIF(J235:J264,"Vegetation",O235:O264)+SUMIF(J271:J300,"Vegetation",O271:O300)+SUMIF(J307:J336,"Vegetation",O307:O336)+SUMIF(J343:J372,"Vegetation",O343:O372)+SUMIF(J379:J408,"Vegetation",O379:O408)+SUMIF(J415:J444,"Vegetation",O415:O444)+SUMIF(J451:J480,"Vegetation",O451:O480)+SUMIF(J487:J516,"Vegetation",O487:O516)+SUMIF(J523:J552,"Vegetation",O523:O552)+SUMIF(J559:J588,"Vegetation",O559:O588)+SUMIF(J595:J624,"Vegetation",O595:O624)+SUMIF(J631:J660,"Vegetation",O631:O660)+SUMIF(J667:J696,"Vegetation",O667:O696)+SUMIF(J703:J732,"Vegetation",O703:O732)+SUMIF(J739:J768,"Vegetation",O739:O768)+SUMIF(J775:J804,"Vegetation",O775:O804)+SUMIF(J811:J840,"Vegetation",O811:O840)+SUMIF(J847:J876,"Vegetation",O847:O876)+SUMIF(J883:J912,"Vegetation",O883:O912)+SUMIF(J919:J948,"Vegetation",O919:O948)+SUMIF(J955:J984,"Vegetation",O955:O984)+SUMIF(J991:J1020,"Vegetation",O991:O1020)+SUMIF(J1027:J1056,"Vegetation",O1027:O1056)+SUMIF(J1063:J1092,"Vegetation",O1063:O1092))/(SUMIF(J19:J48,"Vegetation",H19:H48)+SUMIF(J55:J84,"Vegetation",H55:H84)+SUMIF(J91:J120,"Vegetation",H91:H120)+SUMIF(J127:J156,"Vegetation",H127:H156)+SUMIF(J163:J192,"Vegetation",H163:H192)+SUMIF(J199:J228,"Vegetation",H199:H228)+SUMIF(J235:J264,"Vegetation",H235:H264)+SUMIF(J271:J300,"Vegetation",H271:H300)+SUMIF(J307:J336,"Vegetation",H307:H336)+SUMIF(J343:J372,"Vegetation",H343:H372)+SUMIF(J379:J408,"Vegetation",H379:H408)+SUMIF(J415:J444,"Vegetation",H415:H444)+SUMIF(J451:J480,"Vegetation",H451:H480)+SUMIF(J487:J516,"Vegetation",H487:H516)+SUMIF(J523:J552,"Vegetation",H523:H552)+SUMIF(J559:J588,"Vegetation",H559:H588)+SUMIF(J595:J624,"Vegetation",H595:H624)+SUMIF(J631:J660,"Vegetation",H631:H660)+SUMIF(J667:J696,"Vegetation",H667:H696)+SUMIF(J703:J732,"Vegetation",H703:H732)+SUMIF(J739:J768,"Vegetation",H739:H768)+SUMIF(J775:J804,"Vegetation",H775:H804)+SUMIF(J811:J840,"Vegetation",H811:H840)+SUMIF(J847:J876,"Vegetation",H847:H876)+SUMIF(J883:J912,"Vegetation",H883:H912)+SUMIF(J919:J948,"Vegetation",H919:H948)+SUMIF(J955:J984,"Vegetation",H955:H984)+SUMIF(J991:J1020,"Vegetation",H991:H1020)+SUMIF(J1027:J1056,"Vegetation",H1027:H1056)+SUMIF(J1063:J1092,"Vegetation",H1063:H1092)),0)</f>
        <v/>
      </c>
      <c r="D1103" s="104">
        <f>IFERROR(SUMIF(J19:J48,"Vegetation",O19:O48)+SUMIF(J55:J84,"Vegetation",O55:O84)+SUMIF(J91:J120,"Vegetation",O91:O120)+SUMIF(J127:J156,"Vegetation",O127:O156)+SUMIF(J163:J192,"Vegetation",O163:O192)+SUMIF(J199:J228,"Vegetation",O199:O228)+SUMIF(J235:J264,"Vegetation",O235:O264)+SUMIF(J271:J300,"Vegetation",O271:O300)+SUMIF(J307:J336,"Vegetation",O307:O336)+SUMIF(J343:J372,"Vegetation",O343:O372)+SUMIF(J379:J408,"Vegetation",O379:O408)+SUMIF(J415:J444,"Vegetation",O415:O444)+SUMIF(J451:J480,"Vegetation",O451:O480)+SUMIF(J487:J516,"Vegetation",O487:O516)+SUMIF(J523:J552,"Vegetation",O523:O552)+SUMIF(J559:J588,"Vegetation",O559:O588)+SUMIF(J595:J624,"Vegetation",O595:O624)+SUMIF(J631:J660,"Vegetation",O631:O660)+SUMIF(J667:J696,"Vegetation",O667:O696)+SUMIF(J703:J732,"Vegetation",O703:O732)+SUMIF(J739:J768,"Vegetation",O739:O768)+SUMIF(J775:J804,"Vegetation",O775:O804)+SUMIF(J811:J840,"Vegetation",O811:O840)+SUMIF(J847:J876,"Vegetation",O847:O876)+SUMIF(J883:J912,"Vegetation",O883:O912)+SUMIF(J919:J948,"Vegetation",O919:O948)+SUMIF(J955:J984,"Vegetation",O955:O984)+SUMIF(J991:J1020,"Vegetation",O991:O1020)+SUMIF(J1027:J1056,"Vegetation",O1027:O1056)+SUMIF(J1063:J1092,"Vegetation",O1063:O1092),0)</f>
        <v/>
      </c>
      <c r="E1103" s="90">
        <f>IFERROR(SUMIF(A5:A12,A1103,F5:F12),0)</f>
        <v/>
      </c>
      <c r="F1103" s="121">
        <f>IFERROR(B1103*E1103,0)</f>
        <v/>
      </c>
      <c r="G1103" s="121">
        <f>IFERROR(F1103-D1103,0)</f>
        <v/>
      </c>
      <c r="H1103" s="91">
        <f>IFERROR(G1103/F1103,0)</f>
        <v/>
      </c>
      <c r="I1103" s="87" t="n"/>
      <c r="J1103" s="78" t="n"/>
      <c r="K1103" s="123" t="n"/>
      <c r="L1103" s="124" t="n"/>
      <c r="M1103" s="124" t="n"/>
      <c r="N1103" s="124" t="n"/>
      <c r="O1103" s="123" t="n"/>
      <c r="P1103" s="124" t="n"/>
      <c r="Q1103" s="124" t="n"/>
      <c r="R1103" s="124" t="n"/>
      <c r="S1103" s="114" t="n"/>
    </row>
    <row r="1104" ht="18" customHeight="1">
      <c r="A1104" s="5" t="inlineStr">
        <is>
          <t>Clay</t>
        </is>
      </c>
      <c r="B1104" s="120">
        <f>IFERROR(SUMIF(J19:J48,"Clay",H19:H48)+SUMIF(J55:J84,"Clay",H55:H84)+SUMIF(J91:J120,"Clay",H91:H120)+SUMIF(J127:J156,"Clay",H127:H156)+SUMIF(J163:J192,"Clay",H163:H192)+SUMIF(J199:J228,"Clay",H199:H228)+SUMIF(J235:J264,"Clay",H235:H264)+SUMIF(J271:J300,"Clay",H271:H300)+SUMIF(J307:J336,"Clay",H307:H336)+SUMIF(J343:J372,"Clay",H343:H372)+SUMIF(J379:J408,"Clay",H379:H408)+SUMIF(J415:J444,"Clay",H415:H444)+SUMIF(J451:J480,"Clay",H451:H480)+SUMIF(J487:J516,"Clay",H487:H516)+SUMIF(J523:J552,"Clay",H523:H552)+SUMIF(J559:J588,"Clay",H559:H588)+SUMIF(J595:J624,"Clay",H595:H624)+SUMIF(J631:J660,"Clay",H631:H660)+SUMIF(J667:J696,"Clay",H667:H696)+SUMIF(J703:J732,"Clay",H703:H732)+SUMIF(J739:J768,"Clay",H739:H768)+SUMIF(J775:J804,"Clay",H775:H804)+SUMIF(J811:J840,"Clay",H811:H840)+SUMIF(J847:J876,"Clay",H847:H876)+SUMIF(J883:J912,"Clay",H883:H912)+SUMIF(J919:J948,"Clay",H919:H948)+SUMIF(J955:J984,"Clay",H955:H984)+SUMIF(J991:J1020,"Clay",H991:H1020)+SUMIF(J1027:J1056,"Clay",H1027:H1056)+SUMIF(J1063:J1092,"Clay",H1063:H1092),0)</f>
        <v/>
      </c>
      <c r="C1104" s="104">
        <f>IFERROR((SUMIF(J19:J48,"Clay",O19:O48)+SUMIF(J55:J84,"Clay",O55:O84)+SUMIF(J91:J120,"Clay",O91:O120)+SUMIF(J127:J156,"Clay",O127:O156)+SUMIF(J163:J192,"Clay",O163:O192)+SUMIF(J199:J228,"Clay",O199:O228)+SUMIF(J235:J264,"Clay",O235:O264)+SUMIF(J271:J300,"Clay",O271:O300)+SUMIF(J307:J336,"Clay",O307:O336)+SUMIF(J343:J372,"Clay",O343:O372)+SUMIF(J379:J408,"Clay",O379:O408)+SUMIF(J415:J444,"Clay",O415:O444)+SUMIF(J451:J480,"Clay",O451:O480)+SUMIF(J487:J516,"Clay",O487:O516)+SUMIF(J523:J552,"Clay",O523:O552)+SUMIF(J559:J588,"Clay",O559:O588)+SUMIF(J595:J624,"Clay",O595:O624)+SUMIF(J631:J660,"Clay",O631:O660)+SUMIF(J667:J696,"Clay",O667:O696)+SUMIF(J703:J732,"Clay",O703:O732)+SUMIF(J739:J768,"Clay",O739:O768)+SUMIF(J775:J804,"Clay",O775:O804)+SUMIF(J811:J840,"Clay",O811:O840)+SUMIF(J847:J876,"Clay",O847:O876)+SUMIF(J883:J912,"Clay",O883:O912)+SUMIF(J919:J948,"Clay",O919:O948)+SUMIF(J955:J984,"Clay",O955:O984)+SUMIF(J991:J1020,"Clay",O991:O1020)+SUMIF(J1027:J1056,"Clay",O1027:O1056)+SUMIF(J1063:J1092,"Clay",O1063:O1092))/(SUMIF(J19:J48,"Clay",H19:H48)+SUMIF(J55:J84,"Clay",H55:H84)+SUMIF(J91:J120,"Clay",H91:H120)+SUMIF(J127:J156,"Clay",H127:H156)+SUMIF(J163:J192,"Clay",H163:H192)+SUMIF(J199:J228,"Clay",H199:H228)+SUMIF(J235:J264,"Clay",H235:H264)+SUMIF(J271:J300,"Clay",H271:H300)+SUMIF(J307:J336,"Clay",H307:H336)+SUMIF(J343:J372,"Clay",H343:H372)+SUMIF(J379:J408,"Clay",H379:H408)+SUMIF(J415:J444,"Clay",H415:H444)+SUMIF(J451:J480,"Clay",H451:H480)+SUMIF(J487:J516,"Clay",H487:H516)+SUMIF(J523:J552,"Clay",H523:H552)+SUMIF(J559:J588,"Clay",H559:H588)+SUMIF(J595:J624,"Clay",H595:H624)+SUMIF(J631:J660,"Clay",H631:H660)+SUMIF(J667:J696,"Clay",H667:H696)+SUMIF(J703:J732,"Clay",H703:H732)+SUMIF(J739:J768,"Clay",H739:H768)+SUMIF(J775:J804,"Clay",H775:H804)+SUMIF(J811:J840,"Clay",H811:H840)+SUMIF(J847:J876,"Clay",H847:H876)+SUMIF(J883:J912,"Clay",H883:H912)+SUMIF(J919:J948,"Clay",H919:H948)+SUMIF(J955:J984,"Clay",H955:H984)+SUMIF(J991:J1020,"Clay",H991:H1020)+SUMIF(J1027:J1056,"Clay",H1027:H1056)+SUMIF(J1063:J1092,"Clay",H1063:H1092)),0)</f>
        <v/>
      </c>
      <c r="D1104" s="104">
        <f>IFERROR(SUMIF(J19:J48,"Clay",O19:O48)+SUMIF(J55:J84,"Clay",O55:O84)+SUMIF(J91:J120,"Clay",O91:O120)+SUMIF(J127:J156,"Clay",O127:O156)+SUMIF(J163:J192,"Clay",O163:O192)+SUMIF(J199:J228,"Clay",O199:O228)+SUMIF(J235:J264,"Clay",O235:O264)+SUMIF(J271:J300,"Clay",O271:O300)+SUMIF(J307:J336,"Clay",O307:O336)+SUMIF(J343:J372,"Clay",O343:O372)+SUMIF(J379:J408,"Clay",O379:O408)+SUMIF(J415:J444,"Clay",O415:O444)+SUMIF(J451:J480,"Clay",O451:O480)+SUMIF(J487:J516,"Clay",O487:O516)+SUMIF(J523:J552,"Clay",O523:O552)+SUMIF(J559:J588,"Clay",O559:O588)+SUMIF(J595:J624,"Clay",O595:O624)+SUMIF(J631:J660,"Clay",O631:O660)+SUMIF(J667:J696,"Clay",O667:O696)+SUMIF(J703:J732,"Clay",O703:O732)+SUMIF(J739:J768,"Clay",O739:O768)+SUMIF(J775:J804,"Clay",O775:O804)+SUMIF(J811:J840,"Clay",O811:O840)+SUMIF(J847:J876,"Clay",O847:O876)+SUMIF(J883:J912,"Clay",O883:O912)+SUMIF(J919:J948,"Clay",O919:O948)+SUMIF(J955:J984,"Clay",O955:O984)+SUMIF(J991:J1020,"Clay",O991:O1020)+SUMIF(J1027:J1056,"Clay",O1027:O1056)+SUMIF(J1063:J1092,"Clay",O1063:O1092),0)</f>
        <v/>
      </c>
      <c r="E1104" s="90">
        <f>IFERROR(SUMIF(A5:A12,A1104,F5:F12),0)</f>
        <v/>
      </c>
      <c r="F1104" s="121">
        <f>IFERROR(B1104*E1104,0)</f>
        <v/>
      </c>
      <c r="G1104" s="121">
        <f>IFERROR(F1104-D1104,0)</f>
        <v/>
      </c>
      <c r="H1104" s="91">
        <f>IFERROR(G1104/F1104,0)</f>
        <v/>
      </c>
      <c r="I1104" s="87" t="n"/>
      <c r="J1104" s="78" t="n"/>
      <c r="K1104" s="123" t="n"/>
      <c r="L1104" s="124" t="n"/>
      <c r="M1104" s="124" t="n"/>
      <c r="N1104" s="124" t="n"/>
      <c r="O1104" s="123" t="n"/>
      <c r="P1104" s="124" t="n"/>
      <c r="Q1104" s="124" t="n"/>
      <c r="R1104" s="124" t="n"/>
      <c r="S1104" s="114" t="n"/>
    </row>
    <row r="1105" ht="18" customHeight="1">
      <c r="A1105" s="42" t="inlineStr">
        <is>
          <t>Mudstone</t>
        </is>
      </c>
      <c r="B1105" s="120">
        <f>IFERROR(SUMIF(J19:J48,"Mudstone",H19:H48)+SUMIF(J55:J84,"Mudstone",H55:H84)+SUMIF(J91:J120,"Mudstone",H91:H120)+SUMIF(J127:J156,"Mudstone",H127:H156)+SUMIF(J163:J192,"Mudstone",H163:H192)+SUMIF(J199:J228,"Mudstone",H199:H228)+SUMIF(J235:J264,"Mudstone",H235:H264)+SUMIF(J271:J300,"Mudstone",H271:H300)+SUMIF(J307:J336,"Mudstone",H307:H336)+SUMIF(J343:J372,"Mudstone",H343:H372)+SUMIF(J379:J408,"Mudstone",H379:H408)+SUMIF(J415:J444,"Mudstone",H415:H444)+SUMIF(J451:J480,"Mudstone",H451:H480)+SUMIF(J487:J516,"Mudstone",H487:H516)+SUMIF(J523:J552,"Mudstone",H523:H552)+SUMIF(J559:J588,"Mudstone",H559:H588)+SUMIF(J595:J624,"Mudstone",H595:H624)+SUMIF(J631:J660,"Mudstone",H631:H660)+SUMIF(J667:J696,"Mudstone",H667:H696)+SUMIF(J703:J732,"Mudstone",H703:H732)+SUMIF(J739:J768,"Mudstone",H739:H768)+SUMIF(J775:J804,"Mudstone",H775:H804)+SUMIF(J811:J840,"Mudstone",H811:H840)+SUMIF(J847:J876,"Mudstone",H847:H876)+SUMIF(J883:J912,"Mudstone",H883:H912)+SUMIF(J919:J948,"Mudstone",H919:H948)+SUMIF(J955:J984,"Mudstone",H955:H984)+SUMIF(J991:J1020,"Mudstone",H991:H1020)+SUMIF(J1027:J1056,"Mudstone",H1027:H1056)+SUMIF(J1063:J1092,"Mudstone",H1063:H1092),0)</f>
        <v/>
      </c>
      <c r="C1105" s="104">
        <f>IFERROR((SUMIF(J19:J48,"Mudstone",O19:O48)+SUMIF(J55:J84,"Mudstone",O55:O84)+SUMIF(J91:J120,"Mudstone",O91:O120)+SUMIF(J127:J156,"Mudstone",O127:O156)+SUMIF(J163:J192,"Mudstone",O163:O192)+SUMIF(J199:J228,"Mudstone",O199:O228)+SUMIF(J235:J264,"Mudstone",O235:O264)+SUMIF(J271:J300,"Mudstone",O271:O300)+SUMIF(J307:J336,"Mudstone",O307:O336)+SUMIF(J343:J372,"Mudstone",O343:O372)+SUMIF(J379:J408,"Mudstone",O379:O408)+SUMIF(J415:J444,"Mudstone",O415:O444)+SUMIF(J451:J480,"Mudstone",O451:O480)+SUMIF(J487:J516,"Mudstone",O487:O516)+SUMIF(J523:J552,"Mudstone",O523:O552)+SUMIF(J559:J588,"Mudstone",O559:O588)+SUMIF(J595:J624,"Mudstone",O595:O624)+SUMIF(J631:J660,"Mudstone",O631:O660)+SUMIF(J667:J696,"Mudstone",O667:O696)+SUMIF(J703:J732,"Mudstone",O703:O732)+SUMIF(J739:J768,"Mudstone",O739:O768)+SUMIF(J775:J804,"Mudstone",O775:O804)+SUMIF(J811:J840,"Mudstone",O811:O840)+SUMIF(J847:J876,"Mudstone",O847:O876)+SUMIF(J883:J912,"Mudstone",O883:O912)+SUMIF(J919:J948,"Mudstone",O919:O948)+SUMIF(J955:J984,"Mudstone",O955:O984)+SUMIF(J991:J1020,"Mudstone",O991:O1020)+SUMIF(J1027:J1056,"Mudstone",O1027:O1056)+SUMIF(J1063:J1092,"Mudstone",O1063:O1092))/(SUMIF(J19:J48,"Mudstone",H19:H48)+SUMIF(J55:J84,"Mudstone",H55:H84)+SUMIF(J91:J120,"Mudstone",H91:H120)+SUMIF(J127:J156,"Mudstone",H127:H156)+SUMIF(J163:J192,"Mudstone",H163:H192)+SUMIF(J199:J228,"Mudstone",H199:H228)+SUMIF(J235:J264,"Mudstone",H235:H264)+SUMIF(J271:J300,"Mudstone",H271:H300)+SUMIF(J307:J336,"Mudstone",H307:H336)+SUMIF(J343:J372,"Mudstone",H343:H372)+SUMIF(J379:J408,"Mudstone",H379:H408)+SUMIF(J415:J444,"Mudstone",H415:H444)+SUMIF(J451:J480,"Mudstone",H451:H480)+SUMIF(J487:J516,"Mudstone",H487:H516)+SUMIF(J523:J552,"Mudstone",H523:H552)+SUMIF(J559:J588,"Mudstone",H559:H588)+SUMIF(J595:J624,"Mudstone",H595:H624)+SUMIF(J631:J660,"Mudstone",H631:H660)+SUMIF(J667:J696,"Mudstone",H667:H696)+SUMIF(J703:J732,"Mudstone",H703:H732)+SUMIF(J739:J768,"Mudstone",H739:H768)+SUMIF(J775:J804,"Mudstone",H775:H804)+SUMIF(J811:J840,"Mudstone",H811:H840)+SUMIF(J847:J876,"Mudstone",H847:H876)+SUMIF(J883:J912,"Mudstone",H883:H912)+SUMIF(J919:J948,"Mudstone",H919:H948)+SUMIF(J955:J984,"Mudstone",H955:H984)+SUMIF(J991:J1020,"Mudstone",H991:H1020)+SUMIF(J1027:J1056,"Mudstone",H1027:H1056)+SUMIF(J1063:J1092,"Mudstone",H1063:H1092)),0)</f>
        <v/>
      </c>
      <c r="D1105" s="104">
        <f>IFERROR(SUMIF(J19:J48,"Mudstone",O19:O48)+SUMIF(J55:J84,"Mudstone",O55:O84)+SUMIF(J91:J120,"Mudstone",O91:O120)+SUMIF(J127:J156,"Mudstone",O127:O156)+SUMIF(J163:J192,"Mudstone",O163:O192)+SUMIF(J199:J228,"Mudstone",O199:O228)+SUMIF(J235:J264,"Mudstone",O235:O264)+SUMIF(J271:J300,"Mudstone",O271:O300)+SUMIF(J307:J336,"Mudstone",O307:O336)+SUMIF(J343:J372,"Mudstone",O343:O372)+SUMIF(J379:J408,"Mudstone",O379:O408)+SUMIF(J415:J444,"Mudstone",O415:O444)+SUMIF(J451:J480,"Mudstone",O451:O480)+SUMIF(J487:J516,"Mudstone",O487:O516)+SUMIF(J523:J552,"Mudstone",O523:O552)+SUMIF(J559:J588,"Mudstone",O559:O588)+SUMIF(J595:J624,"Mudstone",O595:O624)+SUMIF(J631:J660,"Mudstone",O631:O660)+SUMIF(J667:J696,"Mudstone",O667:O696)+SUMIF(J703:J732,"Mudstone",O703:O732)+SUMIF(J739:J768,"Mudstone",O739:O768)+SUMIF(J775:J804,"Mudstone",O775:O804)+SUMIF(J811:J840,"Mudstone",O811:O840)+SUMIF(J847:J876,"Mudstone",O847:O876)+SUMIF(J883:J912,"Mudstone",O883:O912)+SUMIF(J919:J948,"Mudstone",O919:O948)+SUMIF(J955:J984,"Mudstone",O955:O984)+SUMIF(J991:J1020,"Mudstone",O991:O1020)+SUMIF(J1027:J1056,"Mudstone",O1027:O1056)+SUMIF(J1063:J1092,"Mudstone",O1063:O1092),0)</f>
        <v/>
      </c>
      <c r="E1105" s="90">
        <f>IFERROR(SUMIF(A5:A12,A1105,F5:F12),0)</f>
        <v/>
      </c>
      <c r="F1105" s="121">
        <f>IFERROR(B1105*E1105,0)</f>
        <v/>
      </c>
      <c r="G1105" s="121">
        <f>IFERROR(F1105-D1105,0)</f>
        <v/>
      </c>
      <c r="H1105" s="91">
        <f>IFERROR(G1105/F1105,0)</f>
        <v/>
      </c>
      <c r="I1105" s="87" t="n"/>
      <c r="J1105" s="78" t="n"/>
      <c r="K1105" s="123" t="n"/>
      <c r="L1105" s="124" t="n"/>
      <c r="M1105" s="124" t="n"/>
      <c r="N1105" s="124" t="n"/>
      <c r="O1105" s="123" t="n"/>
      <c r="P1105" s="124" t="n"/>
      <c r="Q1105" s="124" t="n"/>
      <c r="R1105" s="124" t="n"/>
      <c r="S1105" s="114" t="n"/>
    </row>
    <row r="1106" ht="18" customHeight="1">
      <c r="A1106" s="5" t="inlineStr">
        <is>
          <t>Rock</t>
        </is>
      </c>
      <c r="B1106" s="120">
        <f>IFERROR(SUMIF(J19:J48,"Rock",H19:H48)+SUMIF(J55:J84,"Rock",H55:H84)+SUMIF(J91:J120,"Rock",H91:H120)+SUMIF(J127:J156,"Rock",H127:H156)+SUMIF(J163:J192,"Rock",H163:H192)+SUMIF(J199:J228,"Rock",H199:H228)+SUMIF(J235:J264,"Rock",H235:H264)+SUMIF(J271:J300,"Rock",H271:H300)+SUMIF(J307:J336,"Rock",H307:H336)+SUMIF(J343:J372,"Rock",H343:H372)+SUMIF(J379:J408,"Rock",H379:H408)+SUMIF(J415:J444,"Rock",H415:H444)+SUMIF(J451:J480,"Rock",H451:H480)+SUMIF(J487:J516,"Rock",H487:H516)+SUMIF(J523:J552,"Rock",H523:H552)+SUMIF(J559:J588,"Rock",H559:H588)+SUMIF(J595:J624,"Rock",H595:H624)+SUMIF(J631:J660,"Rock",H631:H660)+SUMIF(J667:J696,"Rock",H667:H696)+SUMIF(J703:J732,"Rock",H703:H732)+SUMIF(J739:J768,"Rock",H739:H768)+SUMIF(J775:J804,"Rock",H775:H804)+SUMIF(J811:J840,"Rock",H811:H840)+SUMIF(J847:J876,"Rock",H847:H876)+SUMIF(J883:J912,"Rock",H883:H912)+SUMIF(J919:J948,"Rock",H919:H948)+SUMIF(J955:J984,"Rock",H955:H984)+SUMIF(J991:J1020,"Rock",H991:H1020)+SUMIF(J1027:J1056,"Rock",H1027:H1056)+SUMIF(J1063:J1092,"Rock",H1063:H1092),0)</f>
        <v/>
      </c>
      <c r="C1106" s="104">
        <f>IFERROR((SUMIF(J19:J48,"Rock",O19:O48)+SUMIF(J55:J84,"Rock",O55:O84)+SUMIF(J91:J120,"Rock",O91:O120)+SUMIF(J127:J156,"Rock",O127:O156)+SUMIF(J163:J192,"Rock",O163:O192)+SUMIF(J199:J228,"Rock",O199:O228)+SUMIF(J235:J264,"Rock",O235:O264)+SUMIF(J271:J300,"Rock",O271:O300)+SUMIF(J307:J336,"Rock",O307:O336)+SUMIF(J343:J372,"Rock",O343:O372)+SUMIF(J379:J408,"Rock",O379:O408)+SUMIF(J415:J444,"Rock",O415:O444)+SUMIF(J451:J480,"Rock",O451:O480)+SUMIF(J487:J516,"Rock",O487:O516)+SUMIF(J523:J552,"Rock",O523:O552)+SUMIF(J559:J588,"Rock",O559:O588)+SUMIF(J595:J624,"Rock",O595:O624)+SUMIF(J631:J660,"Rock",O631:O660)+SUMIF(J667:J696,"Rock",O667:O696)+SUMIF(J703:J732,"Rock",O703:O732)+SUMIF(J739:J768,"Rock",O739:O768)+SUMIF(J775:J804,"Rock",O775:O804)+SUMIF(J811:J840,"Rock",O811:O840)+SUMIF(J847:J876,"Rock",O847:O876)+SUMIF(J883:J912,"Rock",O883:O912)+SUMIF(J919:J948,"Rock",O919:O948)+SUMIF(J955:J984,"Rock",O955:O984)+SUMIF(J991:J1020,"Rock",O991:O1020)+SUMIF(J1027:J1056,"Rock",O1027:O1056)+SUMIF(J1063:J1092,"Rock",O1063:O1092))/(SUMIF(J19:J48,"Rock",H19:H48)+SUMIF(J55:J84,"Rock",H55:H84)+SUMIF(J91:J120,"Rock",H91:H120)+SUMIF(J127:J156,"Rock",H127:H156)+SUMIF(J163:J192,"Rock",H163:H192)+SUMIF(J199:J228,"Rock",H199:H228)+SUMIF(J235:J264,"Rock",H235:H264)+SUMIF(J271:J300,"Rock",H271:H300)+SUMIF(J307:J336,"Rock",H307:H336)+SUMIF(J343:J372,"Rock",H343:H372)+SUMIF(J379:J408,"Rock",H379:H408)+SUMIF(J415:J444,"Rock",H415:H444)+SUMIF(J451:J480,"Rock",H451:H480)+SUMIF(J487:J516,"Rock",H487:H516)+SUMIF(J523:J552,"Rock",H523:H552)+SUMIF(J559:J588,"Rock",H559:H588)+SUMIF(J595:J624,"Rock",H595:H624)+SUMIF(J631:J660,"Rock",H631:H660)+SUMIF(J667:J696,"Rock",H667:H696)+SUMIF(J703:J732,"Rock",H703:H732)+SUMIF(J739:J768,"Rock",H739:H768)+SUMIF(J775:J804,"Rock",H775:H804)+SUMIF(J811:J840,"Rock",H811:H840)+SUMIF(J847:J876,"Rock",H847:H876)+SUMIF(J883:J912,"Rock",H883:H912)+SUMIF(J919:J948,"Rock",H919:H948)+SUMIF(J955:J984,"Rock",H955:H984)+SUMIF(J991:J1020,"Rock",H991:H1020)+SUMIF(J1027:J1056,"Rock",H1027:H1056)+SUMIF(J1063:J1092,"Rock",H1063:H1092)),0)</f>
        <v/>
      </c>
      <c r="D1106" s="104">
        <f>IFERROR(SUMIF(J19:J48,"Rock",O19:O48)+SUMIF(J55:J84,"Rock",O55:O84)+SUMIF(J91:J120,"Rock",O91:O120)+SUMIF(J127:J156,"Rock",O127:O156)+SUMIF(J163:J192,"Rock",O163:O192)+SUMIF(J199:J228,"Rock",O199:O228)+SUMIF(J235:J264,"Rock",O235:O264)+SUMIF(J271:J300,"Rock",O271:O300)+SUMIF(J307:J336,"Rock",O307:O336)+SUMIF(J343:J372,"Rock",O343:O372)+SUMIF(J379:J408,"Rock",O379:O408)+SUMIF(J415:J444,"Rock",O415:O444)+SUMIF(J451:J480,"Rock",O451:O480)+SUMIF(J487:J516,"Rock",O487:O516)+SUMIF(J523:J552,"Rock",O523:O552)+SUMIF(J559:J588,"Rock",O559:O588)+SUMIF(J595:J624,"Rock",O595:O624)+SUMIF(J631:J660,"Rock",O631:O660)+SUMIF(J667:J696,"Rock",O667:O696)+SUMIF(J703:J732,"Rock",O703:O732)+SUMIF(J739:J768,"Rock",O739:O768)+SUMIF(J775:J804,"Rock",O775:O804)+SUMIF(J811:J840,"Rock",O811:O840)+SUMIF(J847:J876,"Rock",O847:O876)+SUMIF(J883:J912,"Rock",O883:O912)+SUMIF(J919:J948,"Rock",O919:O948)+SUMIF(J955:J984,"Rock",O955:O984)+SUMIF(J991:J1020,"Rock",O991:O1020)+SUMIF(J1027:J1056,"Rock",O1027:O1056)+SUMIF(J1063:J1092,"Rock",O1063:O1092),0)</f>
        <v/>
      </c>
      <c r="E1106" s="90">
        <f>IFERROR(SUMIF(A5:A12,A1106,F5:F12),0)</f>
        <v/>
      </c>
      <c r="F1106" s="121">
        <f>IFERROR(B1106*E1106,0)</f>
        <v/>
      </c>
      <c r="G1106" s="121">
        <f>IFERROR(F1106-D1106,0)</f>
        <v/>
      </c>
      <c r="H1106" s="91">
        <f>IFERROR(G1106/F1106,0)</f>
        <v/>
      </c>
      <c r="I1106" s="87" t="n"/>
      <c r="J1106" s="78" t="n"/>
      <c r="K1106" s="123" t="n"/>
      <c r="L1106" s="124" t="n"/>
      <c r="M1106" s="124" t="n"/>
      <c r="N1106" s="124" t="n"/>
      <c r="O1106" s="123" t="n"/>
      <c r="P1106" s="124" t="n"/>
      <c r="Q1106" s="124" t="n"/>
      <c r="R1106" s="124" t="n"/>
      <c r="S1106" s="114" t="n"/>
    </row>
    <row r="1107" ht="18" customHeight="1">
      <c r="A1107" s="42" t="inlineStr">
        <is>
          <t>Concrete</t>
        </is>
      </c>
      <c r="B1107" s="120">
        <f>IFERROR(SUMIF(J19:J48,"Concrete",H19:H48)+SUMIF(J55:J84,"Concrete",H55:H84)+SUMIF(J91:J120,"Concrete",H91:H120)+SUMIF(J127:J156,"Concrete",H127:H156)+SUMIF(J163:J192,"Concrete",H163:H192)+SUMIF(J199:J228,"Concrete",H199:H228)+SUMIF(J235:J264,"Concrete",H235:H264)+SUMIF(J271:J300,"Concrete",H271:H300)+SUMIF(J307:J336,"Concrete",H307:H336)+SUMIF(J343:J372,"Concrete",H343:H372)+SUMIF(J379:J408,"Concrete",H379:H408)+SUMIF(J415:J444,"Concrete",H415:H444)+SUMIF(J451:J480,"Concrete",H451:H480)+SUMIF(J487:J516,"Concrete",H487:H516)+SUMIF(J523:J552,"Concrete",H523:H552)+SUMIF(J559:J588,"Concrete",H559:H588)+SUMIF(J595:J624,"Concrete",H595:H624)+SUMIF(J631:J660,"Concrete",H631:H660)+SUMIF(J667:J696,"Concrete",H667:H696)+SUMIF(J703:J732,"Concrete",H703:H732)+SUMIF(J739:J768,"Concrete",H739:H768)+SUMIF(J775:J804,"Concrete",H775:H804)+SUMIF(J811:J840,"Concrete",H811:H840)+SUMIF(J847:J876,"Concrete",H847:H876)+SUMIF(J883:J912,"Concrete",H883:H912)+SUMIF(J919:J948,"Concrete",H919:H948)+SUMIF(J955:J984,"Concrete",H955:H984)+SUMIF(J991:J1020,"Concrete",H991:H1020)+SUMIF(J1027:J1056,"Concrete",H1027:H1056)+SUMIF(J1063:J1092,"Concrete",H1063:H1092),0)</f>
        <v/>
      </c>
      <c r="C1107" s="104">
        <f>IFERROR((SUMIF(J19:J48,"Concrete",O19:O48)+SUMIF(J55:J84,"Concrete",O55:O84)+SUMIF(J91:J120,"Concrete",O91:O120)+SUMIF(J127:J156,"Concrete",O127:O156)+SUMIF(J163:J192,"Concrete",O163:O192)+SUMIF(J199:J228,"Concrete",O199:O228)+SUMIF(J235:J264,"Concrete",O235:O264)+SUMIF(J271:J300,"Concrete",O271:O300)+SUMIF(J307:J336,"Concrete",O307:O336)+SUMIF(J343:J372,"Concrete",O343:O372)+SUMIF(J379:J408,"Concrete",O379:O408)+SUMIF(J415:J444,"Concrete",O415:O444)+SUMIF(J451:J480,"Concrete",O451:O480)+SUMIF(J487:J516,"Concrete",O487:O516)+SUMIF(J523:J552,"Concrete",O523:O552)+SUMIF(J559:J588,"Concrete",O559:O588)+SUMIF(J595:J624,"Concrete",O595:O624)+SUMIF(J631:J660,"Concrete",O631:O660)+SUMIF(J667:J696,"Concrete",O667:O696)+SUMIF(J703:J732,"Concrete",O703:O732)+SUMIF(J739:J768,"Concrete",O739:O768)+SUMIF(J775:J804,"Concrete",O775:O804)+SUMIF(J811:J840,"Concrete",O811:O840)+SUMIF(J847:J876,"Concrete",O847:O876)+SUMIF(J883:J912,"Concrete",O883:O912)+SUMIF(J919:J948,"Concrete",O919:O948)+SUMIF(J955:J984,"Concrete",O955:O984)+SUMIF(J991:J1020,"Concrete",O991:O1020)+SUMIF(J1027:J1056,"Concrete",O1027:O1056)+SUMIF(J1063:J1092,"Concrete",O1063:O1092))/(SUMIF(J19:J48,"Concrete",H19:H48)+SUMIF(J55:J84,"Concrete",H55:H84)+SUMIF(J91:J120,"Concrete",H91:H120)+SUMIF(J127:J156,"Concrete",H127:H156)+SUMIF(J163:J192,"Concrete",H163:H192)+SUMIF(J199:J228,"Concrete",H199:H228)+SUMIF(J235:J264,"Concrete",H235:H264)+SUMIF(J271:J300,"Concrete",H271:H300)+SUMIF(J307:J336,"Concrete",H307:H336)+SUMIF(J343:J372,"Concrete",H343:H372)+SUMIF(J379:J408,"Concrete",H379:H408)+SUMIF(J415:J444,"Concrete",H415:H444)+SUMIF(J451:J480,"Concrete",H451:H480)+SUMIF(J487:J516,"Concrete",H487:H516)+SUMIF(J523:J552,"Concrete",H523:H552)+SUMIF(J559:J588,"Concrete",H559:H588)+SUMIF(J595:J624,"Concrete",H595:H624)+SUMIF(J631:J660,"Concrete",H631:H660)+SUMIF(J667:J696,"Concrete",H667:H696)+SUMIF(J703:J732,"Concrete",H703:H732)+SUMIF(J739:J768,"Concrete",H739:H768)+SUMIF(J775:J804,"Concrete",H775:H804)+SUMIF(J811:J840,"Concrete",H811:H840)+SUMIF(J847:J876,"Concrete",H847:H876)+SUMIF(J883:J912,"Concrete",H883:H912)+SUMIF(J919:J948,"Concrete",H919:H948)+SUMIF(J955:J984,"Concrete",H955:H984)+SUMIF(J991:J1020,"Concrete",H991:H1020)+SUMIF(J1027:J1056,"Concrete",H1027:H1056)+SUMIF(J1063:J1092,"Concrete",H1063:H1092)),0)</f>
        <v/>
      </c>
      <c r="D1107" s="104">
        <f>IFERROR(SUMIF(J19:J48,"Concrete",O19:O48)+SUMIF(J55:J84,"Concrete",O55:O84)+SUMIF(J91:J120,"Concrete",O91:O120)+SUMIF(J127:J156,"Concrete",O127:O156)+SUMIF(J163:J192,"Concrete",O163:O192)+SUMIF(J199:J228,"Concrete",O199:O228)+SUMIF(J235:J264,"Concrete",O235:O264)+SUMIF(J271:J300,"Concrete",O271:O300)+SUMIF(J307:J336,"Concrete",O307:O336)+SUMIF(J343:J372,"Concrete",O343:O372)+SUMIF(J379:J408,"Concrete",O379:O408)+SUMIF(J415:J444,"Concrete",O415:O444)+SUMIF(J451:J480,"Concrete",O451:O480)+SUMIF(J487:J516,"Concrete",O487:O516)+SUMIF(J523:J552,"Concrete",O523:O552)+SUMIF(J559:J588,"Concrete",O559:O588)+SUMIF(J595:J624,"Concrete",O595:O624)+SUMIF(J631:J660,"Concrete",O631:O660)+SUMIF(J667:J696,"Concrete",O667:O696)+SUMIF(J703:J732,"Concrete",O703:O732)+SUMIF(J739:J768,"Concrete",O739:O768)+SUMIF(J775:J804,"Concrete",O775:O804)+SUMIF(J811:J840,"Concrete",O811:O840)+SUMIF(J847:J876,"Concrete",O847:O876)+SUMIF(J883:J912,"Concrete",O883:O912)+SUMIF(J919:J948,"Concrete",O919:O948)+SUMIF(J955:J984,"Concrete",O955:O984)+SUMIF(J991:J1020,"Concrete",O991:O1020)+SUMIF(J1027:J1056,"Concrete",O1027:O1056)+SUMIF(J1063:J1092,"Concrete",O1063:O1092),0)</f>
        <v/>
      </c>
      <c r="E1107" s="90">
        <f>IFERROR(SUMIF(A5:A12,A1107,F5:F12),0)</f>
        <v/>
      </c>
      <c r="F1107" s="121">
        <f>IFERROR(B1107*E1107,0)</f>
        <v/>
      </c>
      <c r="G1107" s="121">
        <f>IFERROR(F1107-D1107,0)</f>
        <v/>
      </c>
      <c r="H1107" s="91">
        <f>IFERROR(G1107/F1107,0)</f>
        <v/>
      </c>
      <c r="I1107" s="87" t="n"/>
      <c r="J1107" s="78" t="n"/>
      <c r="K1107" s="123" t="n"/>
      <c r="L1107" s="124" t="n"/>
      <c r="M1107" s="124" t="n"/>
      <c r="N1107" s="124" t="n"/>
      <c r="O1107" s="123" t="n"/>
      <c r="P1107" s="124" t="n"/>
      <c r="Q1107" s="124" t="n"/>
      <c r="R1107" s="124" t="n"/>
      <c r="S1107" s="114" t="n"/>
    </row>
    <row r="1108" ht="18" customHeight="1">
      <c r="A1108" s="5" t="inlineStr">
        <is>
          <t>Bricks</t>
        </is>
      </c>
      <c r="B1108" s="120">
        <f>IFERROR(SUMIF(J19:J48,"Bricks",H19:H48)+SUMIF(J55:J84,"Bricks",H55:H84)+SUMIF(J91:J120,"Bricks",H91:H120)+SUMIF(J127:J156,"Bricks",H127:H156)+SUMIF(J163:J192,"Bricks",H163:H192)+SUMIF(J199:J228,"Bricks",H199:H228)+SUMIF(J235:J264,"Bricks",H235:H264)+SUMIF(J271:J300,"Bricks",H271:H300)+SUMIF(J307:J336,"Bricks",H307:H336)+SUMIF(J343:J372,"Bricks",H343:H372)+SUMIF(J379:J408,"Bricks",H379:H408)+SUMIF(J415:J444,"Bricks",H415:H444)+SUMIF(J451:J480,"Bricks",H451:H480)+SUMIF(J487:J516,"Bricks",H487:H516)+SUMIF(J523:J552,"Bricks",H523:H552)+SUMIF(J559:J588,"Bricks",H559:H588)+SUMIF(J595:J624,"Bricks",H595:H624)+SUMIF(J631:J660,"Bricks",H631:H660)+SUMIF(J667:J696,"Bricks",H667:H696)+SUMIF(J703:J732,"Bricks",H703:H732)+SUMIF(J739:J768,"Bricks",H739:H768)+SUMIF(J775:J804,"Bricks",H775:H804)+SUMIF(J811:J840,"Bricks",H811:H840)+SUMIF(J847:J876,"Bricks",H847:H876)+SUMIF(J883:J912,"Bricks",H883:H912)+SUMIF(J919:J948,"Bricks",H919:H948)+SUMIF(J955:J984,"Bricks",H955:H984)+SUMIF(J991:J1020,"Bricks",H991:H1020)+SUMIF(J1027:J1056,"Bricks",H1027:H1056)+SUMIF(J1063:J1092,"Bricks",H1063:H1092),0)</f>
        <v/>
      </c>
      <c r="C1108" s="104">
        <f>IFERROR((SUMIF(J19:J48,"Bricks",O19:O48)+SUMIF(J55:J84,"Bricks",O55:O84)+SUMIF(J91:J120,"Bricks",O91:O120)+SUMIF(J127:J156,"Bricks",O127:O156)+SUMIF(J163:J192,"Bricks",O163:O192)+SUMIF(J199:J228,"Bricks",O199:O228)+SUMIF(J235:J264,"Bricks",O235:O264)+SUMIF(J271:J300,"Bricks",O271:O300)+SUMIF(J307:J336,"Bricks",O307:O336)+SUMIF(J343:J372,"Bricks",O343:O372)+SUMIF(J379:J408,"Bricks",O379:O408)+SUMIF(J415:J444,"Bricks",O415:O444)+SUMIF(J451:J480,"Bricks",O451:O480)+SUMIF(J487:J516,"Bricks",O487:O516)+SUMIF(J523:J552,"Bricks",O523:O552)+SUMIF(J559:J588,"Bricks",O559:O588)+SUMIF(J595:J624,"Bricks",O595:O624)+SUMIF(J631:J660,"Bricks",O631:O660)+SUMIF(J667:J696,"Bricks",O667:O696)+SUMIF(J703:J732,"Bricks",O703:O732)+SUMIF(J739:J768,"Bricks",O739:O768)+SUMIF(J775:J804,"Bricks",O775:O804)+SUMIF(J811:J840,"Bricks",O811:O840)+SUMIF(J847:J876,"Bricks",O847:O876)+SUMIF(J883:J912,"Bricks",O883:O912)+SUMIF(J919:J948,"Bricks",O919:O948)+SUMIF(J955:J984,"Bricks",O955:O984)+SUMIF(J991:J1020,"Bricks",O991:O1020)+SUMIF(J1027:J1056,"Bricks",O1027:O1056)+SUMIF(J1063:J1092,"Bricks",O1063:O1092))/(SUMIF(J19:J48,"Bricks",H19:H48)+SUMIF(J55:J84,"Bricks",H55:H84)+SUMIF(J91:J120,"Bricks",H91:H120)+SUMIF(J127:J156,"Bricks",H127:H156)+SUMIF(J163:J192,"Bricks",H163:H192)+SUMIF(J199:J228,"Bricks",H199:H228)+SUMIF(J235:J264,"Bricks",H235:H264)+SUMIF(J271:J300,"Bricks",H271:H300)+SUMIF(J307:J336,"Bricks",H307:H336)+SUMIF(J343:J372,"Bricks",H343:H372)+SUMIF(J379:J408,"Bricks",H379:H408)+SUMIF(J415:J444,"Bricks",H415:H444)+SUMIF(J451:J480,"Bricks",H451:H480)+SUMIF(J487:J516,"Bricks",H487:H516)+SUMIF(J523:J552,"Bricks",H523:H552)+SUMIF(J559:J588,"Bricks",H559:H588)+SUMIF(J595:J624,"Bricks",H595:H624)+SUMIF(J631:J660,"Bricks",H631:H660)+SUMIF(J667:J696,"Bricks",H667:H696)+SUMIF(J703:J732,"Bricks",H703:H732)+SUMIF(J739:J768,"Bricks",H739:H768)+SUMIF(J775:J804,"Bricks",H775:H804)+SUMIF(J811:J840,"Bricks",H811:H840)+SUMIF(J847:J876,"Bricks",H847:H876)+SUMIF(J883:J912,"Bricks",H883:H912)+SUMIF(J919:J948,"Bricks",H919:H948)+SUMIF(J955:J984,"Bricks",H955:H984)+SUMIF(J991:J1020,"Bricks",H991:H1020)+SUMIF(J1027:J1056,"Bricks",H1027:H1056)+SUMIF(J1063:J1092,"Bricks",H1063:H1092)),0)</f>
        <v/>
      </c>
      <c r="D1108" s="104">
        <f>IFERROR(SUMIF(J19:J48,"Bricks",O19:O48)+SUMIF(J55:J84,"Bricks",O55:O84)+SUMIF(J91:J120,"Bricks",O91:O120)+SUMIF(J127:J156,"Bricks",O127:O156)+SUMIF(J163:J192,"Bricks",O163:O192)+SUMIF(J199:J228,"Bricks",O199:O228)+SUMIF(J235:J264,"Bricks",O235:O264)+SUMIF(J271:J300,"Bricks",O271:O300)+SUMIF(J307:J336,"Bricks",O307:O336)+SUMIF(J343:J372,"Bricks",O343:O372)+SUMIF(J379:J408,"Bricks",O379:O408)+SUMIF(J415:J444,"Bricks",O415:O444)+SUMIF(J451:J480,"Bricks",O451:O480)+SUMIF(J487:J516,"Bricks",O487:O516)+SUMIF(J523:J552,"Bricks",O523:O552)+SUMIF(J559:J588,"Bricks",O559:O588)+SUMIF(J595:J624,"Bricks",O595:O624)+SUMIF(J631:J660,"Bricks",O631:O660)+SUMIF(J667:J696,"Bricks",O667:O696)+SUMIF(J703:J732,"Bricks",O703:O732)+SUMIF(J739:J768,"Bricks",O739:O768)+SUMIF(J775:J804,"Bricks",O775:O804)+SUMIF(J811:J840,"Bricks",O811:O840)+SUMIF(J847:J876,"Bricks",O847:O876)+SUMIF(J883:J912,"Bricks",O883:O912)+SUMIF(J919:J948,"Bricks",O919:O948)+SUMIF(J955:J984,"Bricks",O955:O984)+SUMIF(J991:J1020,"Bricks",O991:O1020)+SUMIF(J1027:J1056,"Bricks",O1027:O1056)+SUMIF(J1063:J1092,"Bricks",O1063:O1092),0)</f>
        <v/>
      </c>
      <c r="E1108" s="90">
        <f>IFERROR(SUMIF(A5:A12,A1108,F5:F12),0)</f>
        <v/>
      </c>
      <c r="F1108" s="121">
        <f>IFERROR(B1108*E1108,0)</f>
        <v/>
      </c>
      <c r="G1108" s="121">
        <f>IFERROR(F1108-D1108,0)</f>
        <v/>
      </c>
      <c r="H1108" s="91">
        <f>IFERROR(G1108/F1108,0)</f>
        <v/>
      </c>
      <c r="I1108" s="87" t="n"/>
      <c r="J1108" s="78" t="n"/>
      <c r="K1108" s="123" t="n"/>
      <c r="L1108" s="124" t="n"/>
      <c r="M1108" s="124" t="n"/>
      <c r="N1108" s="124" t="n"/>
      <c r="O1108" s="123" t="n"/>
      <c r="P1108" s="124" t="n"/>
      <c r="Q1108" s="124" t="n"/>
      <c r="R1108" s="124" t="n"/>
      <c r="S1108" s="114" t="n"/>
    </row>
    <row r="1109" ht="18" customHeight="1">
      <c r="A1109" s="42" t="inlineStr">
        <is>
          <t>Sand</t>
        </is>
      </c>
      <c r="B1109" s="120">
        <f>IFERROR(SUMIF(J19:J48,"Sand",H19:H48)+SUMIF(J55:J84,"Sand",H55:H84)+SUMIF(J91:J120,"Sand",H91:H120)+SUMIF(J127:J156,"Sand",H127:H156)+SUMIF(J163:J192,"Sand",H163:H192)+SUMIF(J199:J228,"Sand",H199:H228)+SUMIF(J235:J264,"Sand",H235:H264)+SUMIF(J271:J300,"Sand",H271:H300)+SUMIF(J307:J336,"Sand",H307:H336)+SUMIF(J343:J372,"Sand",H343:H372)+SUMIF(J379:J408,"Sand",H379:H408)+SUMIF(J415:J444,"Sand",H415:H444)+SUMIF(J451:J480,"Sand",H451:H480)+SUMIF(J487:J516,"Sand",H487:H516)+SUMIF(J523:J552,"Sand",H523:H552)+SUMIF(J559:J588,"Sand",H559:H588)+SUMIF(J595:J624,"Sand",H595:H624)+SUMIF(J631:J660,"Sand",H631:H660)+SUMIF(J667:J696,"Sand",H667:H696)+SUMIF(J703:J732,"Sand",H703:H732)+SUMIF(J739:J768,"Sand",H739:H768)+SUMIF(J775:J804,"Sand",H775:H804)+SUMIF(J811:J840,"Sand",H811:H840)+SUMIF(J847:J876,"Sand",H847:H876)+SUMIF(J883:J912,"Sand",H883:H912)+SUMIF(J919:J948,"Sand",H919:H948)+SUMIF(J955:J984,"Sand",H955:H984)+SUMIF(J991:J1020,"Sand",H991:H1020)+SUMIF(J1027:J1056,"Sand",H1027:H1056)+SUMIF(J1063:J1092,"Sand",H1063:H1092),0)</f>
        <v/>
      </c>
      <c r="C1109" s="104">
        <f>IFERROR((SUMIF(J19:J48,"Sand",O19:O48)+SUMIF(J55:J84,"Sand",O55:O84)+SUMIF(J91:J120,"Sand",O91:O120)+SUMIF(J127:J156,"Sand",O127:O156)+SUMIF(J163:J192,"Sand",O163:O192)+SUMIF(J199:J228,"Sand",O199:O228)+SUMIF(J235:J264,"Sand",O235:O264)+SUMIF(J271:J300,"Sand",O271:O300)+SUMIF(J307:J336,"Sand",O307:O336)+SUMIF(J343:J372,"Sand",O343:O372)+SUMIF(J379:J408,"Sand",O379:O408)+SUMIF(J415:J444,"Sand",O415:O444)+SUMIF(J451:J480,"Sand",O451:O480)+SUMIF(J487:J516,"Sand",O487:O516)+SUMIF(J523:J552,"Sand",O523:O552)+SUMIF(J559:J588,"Sand",O559:O588)+SUMIF(J595:J624,"Sand",O595:O624)+SUMIF(J631:J660,"Sand",O631:O660)+SUMIF(J667:J696,"Sand",O667:O696)+SUMIF(J703:J732,"Sand",O703:O732)+SUMIF(J739:J768,"Sand",O739:O768)+SUMIF(J775:J804,"Sand",O775:O804)+SUMIF(J811:J840,"Sand",O811:O840)+SUMIF(J847:J876,"Sand",O847:O876)+SUMIF(J883:J912,"Sand",O883:O912)+SUMIF(J919:J948,"Sand",O919:O948)+SUMIF(J955:J984,"Sand",O955:O984)+SUMIF(J991:J1020,"Sand",O991:O1020)+SUMIF(J1027:J1056,"Sand",O1027:O1056)+SUMIF(J1063:J1092,"Sand",O1063:O1092))/(SUMIF(J19:J48,"Sand",H19:H48)+SUMIF(J55:J84,"Sand",H55:H84)+SUMIF(J91:J120,"Sand",H91:H120)+SUMIF(J127:J156,"Sand",H127:H156)+SUMIF(J163:J192,"Sand",H163:H192)+SUMIF(J199:J228,"Sand",H199:H228)+SUMIF(J235:J264,"Sand",H235:H264)+SUMIF(J271:J300,"Sand",H271:H300)+SUMIF(J307:J336,"Sand",H307:H336)+SUMIF(J343:J372,"Sand",H343:H372)+SUMIF(J379:J408,"Sand",H379:H408)+SUMIF(J415:J444,"Sand",H415:H444)+SUMIF(J451:J480,"Sand",H451:H480)+SUMIF(J487:J516,"Sand",H487:H516)+SUMIF(J523:J552,"Sand",H523:H552)+SUMIF(J559:J588,"Sand",H559:H588)+SUMIF(J595:J624,"Sand",H595:H624)+SUMIF(J631:J660,"Sand",H631:H660)+SUMIF(J667:J696,"Sand",H667:H696)+SUMIF(J703:J732,"Sand",H703:H732)+SUMIF(J739:J768,"Sand",H739:H768)+SUMIF(J775:J804,"Sand",H775:H804)+SUMIF(J811:J840,"Sand",H811:H840)+SUMIF(J847:J876,"Sand",H847:H876)+SUMIF(J883:J912,"Sand",H883:H912)+SUMIF(J919:J948,"Sand",H919:H948)+SUMIF(J955:J984,"Sand",H955:H984)+SUMIF(J991:J1020,"Sand",H991:H1020)+SUMIF(J1027:J1056,"Sand",H1027:H1056)+SUMIF(J1063:J1092,"Sand",H1063:H1092)),0)</f>
        <v/>
      </c>
      <c r="D1109" s="104">
        <f>IFERROR(SUMIF(J19:J48,"Sand",O19:O48)+SUMIF(J55:J84,"Sand",O55:O84)+SUMIF(J91:J120,"Sand",O91:O120)+SUMIF(J127:J156,"Sand",O127:O156)+SUMIF(J163:J192,"Sand",O163:O192)+SUMIF(J199:J228,"Sand",O199:O228)+SUMIF(J235:J264,"Sand",O235:O264)+SUMIF(J271:J300,"Sand",O271:O300)+SUMIF(J307:J336,"Sand",O307:O336)+SUMIF(J343:J372,"Sand",O343:O372)+SUMIF(J379:J408,"Sand",O379:O408)+SUMIF(J415:J444,"Sand",O415:O444)+SUMIF(J451:J480,"Sand",O451:O480)+SUMIF(J487:J516,"Sand",O487:O516)+SUMIF(J523:J552,"Sand",O523:O552)+SUMIF(J559:J588,"Sand",O559:O588)+SUMIF(J595:J624,"Sand",O595:O624)+SUMIF(J631:J660,"Sand",O631:O660)+SUMIF(J667:J696,"Sand",O667:O696)+SUMIF(J703:J732,"Sand",O703:O732)+SUMIF(J739:J768,"Sand",O739:O768)+SUMIF(J775:J804,"Sand",O775:O804)+SUMIF(J811:J840,"Sand",O811:O840)+SUMIF(J847:J876,"Sand",O847:O876)+SUMIF(J883:J912,"Sand",O883:O912)+SUMIF(J919:J948,"Sand",O919:O948)+SUMIF(J955:J984,"Sand",O955:O984)+SUMIF(J991:J1020,"Sand",O991:O1020)+SUMIF(J1027:J1056,"Sand",O1027:O1056)+SUMIF(J1063:J1092,"Sand",O1063:O1092),0)</f>
        <v/>
      </c>
      <c r="E1109" s="90">
        <f>IFERROR(SUMIF(A5:A12,A1109,F5:F12),0)</f>
        <v/>
      </c>
      <c r="F1109" s="121">
        <f>IFERROR(B1109*E1109,0)</f>
        <v/>
      </c>
      <c r="G1109" s="121">
        <f>IFERROR(F1109-D1109,0)</f>
        <v/>
      </c>
      <c r="H1109" s="91">
        <f>IFERROR(G1109/F1109,0)</f>
        <v/>
      </c>
      <c r="I1109" s="87" t="n"/>
      <c r="J1109" s="78" t="n"/>
      <c r="K1109" s="123" t="n"/>
      <c r="L1109" s="124" t="n"/>
      <c r="M1109" s="124" t="n"/>
      <c r="N1109" s="124" t="n"/>
      <c r="O1109" s="123" t="n"/>
      <c r="P1109" s="124" t="n"/>
      <c r="Q1109" s="124" t="n"/>
      <c r="R1109" s="124" t="n"/>
      <c r="S1109" s="114" t="n"/>
    </row>
    <row r="1110" ht="18" customHeight="1">
      <c r="A1110" s="5" t="inlineStr">
        <is>
          <t>Crushed Rock</t>
        </is>
      </c>
      <c r="B1110" s="120">
        <f>IFERROR(SUMIF(J19:J48,"Crushed Rock",H19:H48)+SUMIF(J55:J84,"Crushed Rock",H55:H84)+SUMIF(J91:J120,"Crushed Rock",H91:H120)+SUMIF(J127:J156,"Crushed Rock",H127:H156)+SUMIF(J163:J192,"Crushed Rock",H163:H192)+SUMIF(J199:J228,"Crushed Rock",H199:H228)+SUMIF(J235:J264,"Crushed Rock",H235:H264)+SUMIF(J271:J300,"Crushed Rock",H271:H300)+SUMIF(J307:J336,"Crushed Rock",H307:H336)+SUMIF(J343:J372,"Crushed Rock",H343:H372)+SUMIF(J379:J408,"Crushed Rock",H379:H408)+SUMIF(J415:J444,"Crushed Rock",H415:H444)+SUMIF(J451:J480,"Crushed Rock",H451:H480)+SUMIF(J487:J516,"Crushed Rock",H487:H516)+SUMIF(J523:J552,"Crushed Rock",H523:H552)+SUMIF(J559:J588,"Crushed Rock",H559:H588)+SUMIF(J595:J624,"Crushed Rock",H595:H624)+SUMIF(J631:J660,"Crushed Rock",H631:H660)+SUMIF(J667:J696,"Crushed Rock",H667:H696)+SUMIF(J703:J732,"Crushed Rock",H703:H732)+SUMIF(J739:J768,"Crushed Rock",H739:H768)+SUMIF(J775:J804,"Crushed Rock",H775:H804)+SUMIF(J811:J840,"Crushed Rock",H811:H840)+SUMIF(J847:J876,"Crushed Rock",H847:H876)+SUMIF(J883:J912,"Crushed Rock",H883:H912)+SUMIF(J919:J948,"Crushed Rock",H919:H948)+SUMIF(J955:J984,"Crushed Rock",H955:H984)+SUMIF(J991:J1020,"Crushed Rock",H991:H1020)+SUMIF(J1027:J1056,"Crushed Rock",H1027:H1056)+SUMIF(J1063:J1092,"Crushed Rock",H1063:H1092),0)</f>
        <v/>
      </c>
      <c r="C1110" s="104">
        <f>IFERROR((SUMIF(J19:J48,"Crushed Rock",O19:O48)+SUMIF(J55:J84,"Crushed Rock",O55:O84)+SUMIF(J91:J120,"Crushed Rock",O91:O120)+SUMIF(J127:J156,"Crushed Rock",O127:O156)+SUMIF(J163:J192,"Crushed Rock",O163:O192)+SUMIF(J199:J228,"Crushed Rock",O199:O228)+SUMIF(J235:J264,"Crushed Rock",O235:O264)+SUMIF(J271:J300,"Crushed Rock",O271:O300)+SUMIF(J307:J336,"Crushed Rock",O307:O336)+SUMIF(J343:J372,"Crushed Rock",O343:O372)+SUMIF(J379:J408,"Crushed Rock",O379:O408)+SUMIF(J415:J444,"Crushed Rock",O415:O444)+SUMIF(J451:J480,"Crushed Rock",O451:O480)+SUMIF(J487:J516,"Crushed Rock",O487:O516)+SUMIF(J523:J552,"Crushed Rock",O523:O552)+SUMIF(J559:J588,"Crushed Rock",O559:O588)+SUMIF(J595:J624,"Crushed Rock",O595:O624)+SUMIF(J631:J660,"Crushed Rock",O631:O660)+SUMIF(J667:J696,"Crushed Rock",O667:O696)+SUMIF(J703:J732,"Crushed Rock",O703:O732)+SUMIF(J739:J768,"Crushed Rock",O739:O768)+SUMIF(J775:J804,"Crushed Rock",O775:O804)+SUMIF(J811:J840,"Crushed Rock",O811:O840)+SUMIF(J847:J876,"Crushed Rock",O847:O876)+SUMIF(J883:J912,"Crushed Rock",O883:O912)+SUMIF(J919:J948,"Crushed Rock",O919:O948)+SUMIF(J955:J984,"Crushed Rock",O955:O984)+SUMIF(J991:J1020,"Crushed Rock",O991:O1020)+SUMIF(J1027:J1056,"Crushed Rock",O1027:O1056)+SUMIF(J1063:J1092,"Crushed Rock",O1063:O1092))/(SUMIF(J19:J48,"Crushed Rock",H19:H48)+SUMIF(J55:J84,"Crushed Rock",H55:H84)+SUMIF(J91:J120,"Crushed Rock",H91:H120)+SUMIF(J127:J156,"Crushed Rock",H127:H156)+SUMIF(J163:J192,"Crushed Rock",H163:H192)+SUMIF(J199:J228,"Crushed Rock",H199:H228)+SUMIF(J235:J264,"Crushed Rock",H235:H264)+SUMIF(J271:J300,"Crushed Rock",H271:H300)+SUMIF(J307:J336,"Crushed Rock",H307:H336)+SUMIF(J343:J372,"Crushed Rock",H343:H372)+SUMIF(J379:J408,"Crushed Rock",H379:H408)+SUMIF(J415:J444,"Crushed Rock",H415:H444)+SUMIF(J451:J480,"Crushed Rock",H451:H480)+SUMIF(J487:J516,"Crushed Rock",H487:H516)+SUMIF(J523:J552,"Crushed Rock",H523:H552)+SUMIF(J559:J588,"Crushed Rock",H559:H588)+SUMIF(J595:J624,"Crushed Rock",H595:H624)+SUMIF(J631:J660,"Crushed Rock",H631:H660)+SUMIF(J667:J696,"Crushed Rock",H667:H696)+SUMIF(J703:J732,"Crushed Rock",H703:H732)+SUMIF(J739:J768,"Crushed Rock",H739:H768)+SUMIF(J775:J804,"Crushed Rock",H775:H804)+SUMIF(J811:J840,"Crushed Rock",H811:H840)+SUMIF(J847:J876,"Crushed Rock",H847:H876)+SUMIF(J883:J912,"Crushed Rock",H883:H912)+SUMIF(J919:J948,"Crushed Rock",H919:H948)+SUMIF(J955:J984,"Crushed Rock",H955:H984)+SUMIF(J991:J1020,"Crushed Rock",H991:H1020)+SUMIF(J1027:J1056,"Crushed Rock",H1027:H1056)+SUMIF(J1063:J1092,"Crushed Rock",H1063:H1092)),0)</f>
        <v/>
      </c>
      <c r="D1110" s="104">
        <f>IFERROR(SUMIF(J19:J48,"Crushed Rock",O19:O48)+SUMIF(J55:J84,"Crushed Rock",O55:O84)+SUMIF(J91:J120,"Crushed Rock",O91:O120)+SUMIF(J127:J156,"Crushed Rock",O127:O156)+SUMIF(J163:J192,"Crushed Rock",O163:O192)+SUMIF(J199:J228,"Crushed Rock",O199:O228)+SUMIF(J235:J264,"Crushed Rock",O235:O264)+SUMIF(J271:J300,"Crushed Rock",O271:O300)+SUMIF(J307:J336,"Crushed Rock",O307:O336)+SUMIF(J343:J372,"Crushed Rock",O343:O372)+SUMIF(J379:J408,"Crushed Rock",O379:O408)+SUMIF(J415:J444,"Crushed Rock",O415:O444)+SUMIF(J451:J480,"Crushed Rock",O451:O480)+SUMIF(J487:J516,"Crushed Rock",O487:O516)+SUMIF(J523:J552,"Crushed Rock",O523:O552)+SUMIF(J559:J588,"Crushed Rock",O559:O588)+SUMIF(J595:J624,"Crushed Rock",O595:O624)+SUMIF(J631:J660,"Crushed Rock",O631:O660)+SUMIF(J667:J696,"Crushed Rock",O667:O696)+SUMIF(J703:J732,"Crushed Rock",O703:O732)+SUMIF(J739:J768,"Crushed Rock",O739:O768)+SUMIF(J775:J804,"Crushed Rock",O775:O804)+SUMIF(J811:J840,"Crushed Rock",O811:O840)+SUMIF(J847:J876,"Crushed Rock",O847:O876)+SUMIF(J883:J912,"Crushed Rock",O883:O912)+SUMIF(J919:J948,"Crushed Rock",O919:O948)+SUMIF(J955:J984,"Crushed Rock",O955:O984)+SUMIF(J991:J1020,"Crushed Rock",O991:O1020)+SUMIF(J1027:J1056,"Crushed Rock",O1027:O1056)+SUMIF(J1063:J1092,"Crushed Rock",O1063:O1092),0)</f>
        <v/>
      </c>
      <c r="E1110" s="90">
        <f>IFERROR(SUMIF(A5:A12,A1110,F5:F12),0)</f>
        <v/>
      </c>
      <c r="F1110" s="121">
        <f>IFERROR(B1110*E1110,0)</f>
        <v/>
      </c>
      <c r="G1110" s="121">
        <f>IFERROR(F1110-D1110,0)</f>
        <v/>
      </c>
      <c r="H1110" s="91">
        <f>IFERROR(G1110/F1110,0)</f>
        <v/>
      </c>
      <c r="I1110" s="87" t="n"/>
      <c r="J1110" s="78" t="n"/>
      <c r="K1110" s="123" t="n"/>
      <c r="L1110" s="124" t="n"/>
      <c r="M1110" s="124" t="n"/>
      <c r="N1110" s="124" t="n"/>
      <c r="O1110" s="123" t="n"/>
      <c r="P1110" s="124" t="n"/>
      <c r="Q1110" s="124" t="n"/>
      <c r="R1110" s="124" t="n"/>
      <c r="S1110" s="114" t="n"/>
    </row>
    <row r="1111" ht="18" customHeight="1">
      <c r="A1111" s="42" t="inlineStr">
        <is>
          <t>Other</t>
        </is>
      </c>
      <c r="B1111" s="120">
        <f>IFERROR(SUMIF(J19:J48,"Other",H19:H48)+SUMIF(J55:J84,"Other",H55:H84)+SUMIF(J91:J120,"Other",H91:H120)+SUMIF(J127:J156,"Other",H127:H156)+SUMIF(J163:J192,"Other",H163:H192)+SUMIF(J199:J228,"Other",H199:H228)+SUMIF(J235:J264,"Other",H235:H264)+SUMIF(J271:J300,"Other",H271:H300)+SUMIF(J307:J336,"Other",H307:H336)+SUMIF(J343:J372,"Other",H343:H372)+SUMIF(J379:J408,"Other",H379:H408)+SUMIF(J415:J444,"Other",H415:H444)+SUMIF(J451:J480,"Other",H451:H480)+SUMIF(J487:J516,"Other",H487:H516)+SUMIF(J523:J552,"Other",H523:H552)+SUMIF(J559:J588,"Other",H559:H588)+SUMIF(J595:J624,"Other",H595:H624)+SUMIF(J631:J660,"Other",H631:H660)+SUMIF(J667:J696,"Other",H667:H696)+SUMIF(J703:J732,"Other",H703:H732)+SUMIF(J739:J768,"Other",H739:H768)+SUMIF(J775:J804,"Other",H775:H804)+SUMIF(J811:J840,"Other",H811:H840)+SUMIF(J847:J876,"Other",H847:H876)+SUMIF(J883:J912,"Other",H883:H912)+SUMIF(J919:J948,"Other",H919:H948)+SUMIF(J955:J984,"Other",H955:H984)+SUMIF(J991:J1020,"Other",H991:H1020)+SUMIF(J1027:J1056,"Other",H1027:H1056)+SUMIF(J1063:J1092,"Other",H1063:H1092),0)</f>
        <v/>
      </c>
      <c r="C1111" s="104">
        <f>IFERROR((SUMIF(J19:J48,"Other",O19:O48)+SUMIF(J55:J84,"Other",O55:O84)+SUMIF(J91:J120,"Other",O91:O120)+SUMIF(J127:J156,"Other",O127:O156)+SUMIF(J163:J192,"Other",O163:O192)+SUMIF(J199:J228,"Other",O199:O228)+SUMIF(J235:J264,"Other",O235:O264)+SUMIF(J271:J300,"Other",O271:O300)+SUMIF(J307:J336,"Other",O307:O336)+SUMIF(J343:J372,"Other",O343:O372)+SUMIF(J379:J408,"Other",O379:O408)+SUMIF(J415:J444,"Other",O415:O444)+SUMIF(J451:J480,"Other",O451:O480)+SUMIF(J487:J516,"Other",O487:O516)+SUMIF(J523:J552,"Other",O523:O552)+SUMIF(J559:J588,"Other",O559:O588)+SUMIF(J595:J624,"Other",O595:O624)+SUMIF(J631:J660,"Other",O631:O660)+SUMIF(J667:J696,"Other",O667:O696)+SUMIF(J703:J732,"Other",O703:O732)+SUMIF(J739:J768,"Other",O739:O768)+SUMIF(J775:J804,"Other",O775:O804)+SUMIF(J811:J840,"Other",O811:O840)+SUMIF(J847:J876,"Other",O847:O876)+SUMIF(J883:J912,"Other",O883:O912)+SUMIF(J919:J948,"Other",O919:O948)+SUMIF(J955:J984,"Other",O955:O984)+SUMIF(J991:J1020,"Other",O991:O1020)+SUMIF(J1027:J1056,"Other",O1027:O1056)+SUMIF(J1063:J1092,"Other",O1063:O1092))/(SUMIF(J19:J48,"Other",H19:H48)+SUMIF(J55:J84,"Other",H55:H84)+SUMIF(J91:J120,"Other",H91:H120)+SUMIF(J127:J156,"Other",H127:H156)+SUMIF(J163:J192,"Other",H163:H192)+SUMIF(J199:J228,"Other",H199:H228)+SUMIF(J235:J264,"Other",H235:H264)+SUMIF(J271:J300,"Other",H271:H300)+SUMIF(J307:J336,"Other",H307:H336)+SUMIF(J343:J372,"Other",H343:H372)+SUMIF(J379:J408,"Other",H379:H408)+SUMIF(J415:J444,"Other",H415:H444)+SUMIF(J451:J480,"Other",H451:H480)+SUMIF(J487:J516,"Other",H487:H516)+SUMIF(J523:J552,"Other",H523:H552)+SUMIF(J559:J588,"Other",H559:H588)+SUMIF(J595:J624,"Other",H595:H624)+SUMIF(J631:J660,"Other",H631:H660)+SUMIF(J667:J696,"Other",H667:H696)+SUMIF(J703:J732,"Other",H703:H732)+SUMIF(J739:J768,"Other",H739:H768)+SUMIF(J775:J804,"Other",H775:H804)+SUMIF(J811:J840,"Other",H811:H840)+SUMIF(J847:J876,"Other",H847:H876)+SUMIF(J883:J912,"Other",H883:H912)+SUMIF(J919:J948,"Other",H919:H948)+SUMIF(J955:J984,"Other",H955:H984)+SUMIF(J991:J1020,"Other",H991:H1020)+SUMIF(J1027:J1056,"Other",H1027:H1056)+SUMIF(J1063:J1092,"Other",H1063:H1092)),0)</f>
        <v/>
      </c>
      <c r="D1111" s="104">
        <f>IFERROR(SUMIF(J19:J48,"Other",O19:O48)+SUMIF(J55:J84,"Other",O55:O84)+SUMIF(J91:J120,"Other",O91:O120)+SUMIF(J127:J156,"Other",O127:O156)+SUMIF(J163:J192,"Other",O163:O192)+SUMIF(J199:J228,"Other",O199:O228)+SUMIF(J235:J264,"Other",O235:O264)+SUMIF(J271:J300,"Other",O271:O300)+SUMIF(J307:J336,"Other",O307:O336)+SUMIF(J343:J372,"Other",O343:O372)+SUMIF(J379:J408,"Other",O379:O408)+SUMIF(J415:J444,"Other",O415:O444)+SUMIF(J451:J480,"Other",O451:O480)+SUMIF(J487:J516,"Other",O487:O516)+SUMIF(J523:J552,"Other",O523:O552)+SUMIF(J559:J588,"Other",O559:O588)+SUMIF(J595:J624,"Other",O595:O624)+SUMIF(J631:J660,"Other",O631:O660)+SUMIF(J667:J696,"Other",O667:O696)+SUMIF(J703:J732,"Other",O703:O732)+SUMIF(J739:J768,"Other",O739:O768)+SUMIF(J775:J804,"Other",O775:O804)+SUMIF(J811:J840,"Other",O811:O840)+SUMIF(J847:J876,"Other",O847:O876)+SUMIF(J883:J912,"Other",O883:O912)+SUMIF(J919:J948,"Other",O919:O948)+SUMIF(J955:J984,"Other",O955:O984)+SUMIF(J991:J1020,"Other",O991:O1020)+SUMIF(J1027:J1056,"Other",O1027:O1056)+SUMIF(J1063:J1092,"Other",O1063:O1092),0)</f>
        <v/>
      </c>
      <c r="E1111" s="90">
        <f>IFERROR(SUMIF(A5:A12,A1111,F5:F12),0)</f>
        <v/>
      </c>
      <c r="F1111" s="121">
        <f>IFERROR(B1111*E1111,0)</f>
        <v/>
      </c>
      <c r="G1111" s="121">
        <f>IFERROR(F1111-D1111,0)</f>
        <v/>
      </c>
      <c r="H1111" s="91">
        <f>IFERROR(G1111/F1111,0)</f>
        <v/>
      </c>
      <c r="I1111" s="87" t="n"/>
      <c r="J1111" s="78" t="n"/>
      <c r="K1111" s="123" t="n"/>
      <c r="L1111" s="124" t="n"/>
      <c r="M1111" s="124" t="n"/>
      <c r="N1111" s="124" t="n"/>
      <c r="O1111" s="123" t="n"/>
      <c r="P1111" s="124" t="n"/>
      <c r="Q1111" s="124" t="n"/>
      <c r="R1111" s="124" t="n"/>
      <c r="S1111" s="114" t="n"/>
    </row>
    <row r="1112" ht="22" customHeight="1">
      <c r="A1112" s="83" t="inlineStr">
        <is>
          <t>TOTAL</t>
        </is>
      </c>
      <c r="B1112" s="92">
        <f>SUM(B1100:B1111)</f>
        <v/>
      </c>
      <c r="C1112" s="38">
        <f>IFERROR(D1112/B1112,0)</f>
        <v/>
      </c>
      <c r="D1112" s="116">
        <f>SUM(D1100:D1111)</f>
        <v/>
      </c>
      <c r="E1112" s="38">
        <f>IFERROR(F1112/B1112,0)</f>
        <v/>
      </c>
      <c r="F1112" s="116">
        <f>SUM(F1100:F1111)</f>
        <v/>
      </c>
      <c r="G1112" s="46">
        <f>SUM(G1100:G1111)</f>
        <v/>
      </c>
      <c r="H1112" s="94">
        <f>IFERROR(G1112/F1112,0)</f>
        <v/>
      </c>
      <c r="J1112" s="78" t="n"/>
      <c r="K1112" s="123" t="n"/>
      <c r="L1112" s="78" t="n"/>
      <c r="M1112" s="124" t="n"/>
      <c r="N1112" s="124" t="n"/>
      <c r="O1112" s="123" t="n"/>
      <c r="P1112" s="124" t="n"/>
      <c r="Q1112" s="124" t="n"/>
      <c r="R1112" s="124" t="n"/>
      <c r="S1112" s="114" t="n"/>
    </row>
    <row r="1113" ht="6" customHeight="1">
      <c r="J1113" s="78" t="n"/>
      <c r="K1113" s="78" t="n"/>
      <c r="L1113" s="78" t="n"/>
      <c r="M1113" s="78" t="n"/>
      <c r="N1113" s="78" t="n"/>
      <c r="O1113" s="78" t="n"/>
      <c r="P1113" s="78" t="n"/>
      <c r="Q1113" s="78" t="n"/>
      <c r="R1113" s="78" t="n"/>
      <c r="S1113" s="78" t="n"/>
    </row>
    <row r="1114" ht="6" customHeight="1">
      <c r="J1114" s="78" t="n"/>
      <c r="K1114" s="78" t="n"/>
      <c r="L1114" s="78" t="n"/>
      <c r="M1114" s="78" t="n"/>
      <c r="N1114" s="78" t="n"/>
      <c r="O1114" s="78" t="n"/>
      <c r="P1114" s="78" t="n"/>
      <c r="Q1114" s="78" t="n"/>
      <c r="R1114" s="78" t="n"/>
      <c r="S1114" s="78" t="n"/>
    </row>
    <row r="1115" ht="22" customHeight="1">
      <c r="A1115" s="95" t="inlineStr">
        <is>
          <t>JOB COST SUMMARY</t>
        </is>
      </c>
      <c r="N1115" s="78" t="n"/>
      <c r="O1115" s="78" t="n"/>
    </row>
    <row r="1116" ht="36" customHeight="1">
      <c r="A1116" s="12" t="inlineStr">
        <is>
          <t>Material</t>
        </is>
      </c>
      <c r="B1116" s="100" t="inlineStr">
        <is>
          <t>BOQ m³</t>
        </is>
      </c>
      <c r="C1116" s="100" t="inlineStr">
        <is>
          <t>BOQ Cartage
Rate ($/m³)</t>
        </is>
      </c>
      <c r="D1116" s="100" t="inlineStr">
        <is>
          <t>Loading
Rate ($/m³)</t>
        </is>
      </c>
      <c r="E1116" s="100" t="inlineStr">
        <is>
          <t>Total BOQ
Rate ($/m³)</t>
        </is>
      </c>
      <c r="F1116" s="127" t="inlineStr">
        <is>
          <t>BOQ
Revenue ($)</t>
        </is>
      </c>
      <c r="G1116" s="118" t="inlineStr">
        <is>
          <t>Actual m³
Carted</t>
        </is>
      </c>
      <c r="H1116" s="126" t="inlineStr">
        <is>
          <t>Avg Rate
Paid ($/m³)</t>
        </is>
      </c>
      <c r="I1116" s="126" t="inlineStr">
        <is>
          <t>Loading
Rate ($/m³)</t>
        </is>
      </c>
      <c r="J1116" s="126" t="inlineStr">
        <is>
          <t>Total Actual
Rate ($/m³)</t>
        </is>
      </c>
      <c r="K1116" s="126" t="inlineStr">
        <is>
          <t>Actual
Cost ($)</t>
        </is>
      </c>
      <c r="L1116" s="102" t="inlineStr">
        <is>
          <t>Profit ($)</t>
        </is>
      </c>
      <c r="M1116" s="102" t="inlineStr">
        <is>
          <t>Margin %</t>
        </is>
      </c>
      <c r="N1116" s="78" t="n"/>
      <c r="O1116" s="78" t="n"/>
    </row>
    <row r="1117" ht="18" customHeight="1">
      <c r="A1117" s="5" t="inlineStr">
        <is>
          <t>Clean Fill</t>
        </is>
      </c>
      <c r="B1117" s="103">
        <f>IFERROR(SUMIF(A5:A12,A1117,B5:B12),0)</f>
        <v/>
      </c>
      <c r="C1117" s="104">
        <f>IFERROR(SUMIF(A5:A12,A1117,E5:E12),0)</f>
        <v/>
      </c>
      <c r="D1117" s="104" t="n">
        <v>6</v>
      </c>
      <c r="E1117" s="104">
        <f>IFERROR(C1117+D1117,0)</f>
        <v/>
      </c>
      <c r="F1117" s="128">
        <f>IFERROR(B1117*E1117,0)</f>
        <v/>
      </c>
      <c r="G1117" s="107">
        <f>IFERROR(SUMIF(J19:J48,"Clean Fill",H19:H48)+SUMIF(J55:J84,"Clean Fill",H55:H84)+SUMIF(J91:J120,"Clean Fill",H91:H120)+SUMIF(J127:J156,"Clean Fill",H127:H156)+SUMIF(J163:J192,"Clean Fill",H163:H192)+SUMIF(J199:J228,"Clean Fill",H199:H228)+SUMIF(J235:J264,"Clean Fill",H235:H264)+SUMIF(J271:J300,"Clean Fill",H271:H300)+SUMIF(J307:J336,"Clean Fill",H307:H336)+SUMIF(J343:J372,"Clean Fill",H343:H372)+SUMIF(J379:J408,"Clean Fill",H379:H408)+SUMIF(J415:J444,"Clean Fill",H415:H444)+SUMIF(J451:J480,"Clean Fill",H451:H480)+SUMIF(J487:J516,"Clean Fill",H487:H516)+SUMIF(J523:J552,"Clean Fill",H523:H552)+SUMIF(J559:J588,"Clean Fill",H559:H588)+SUMIF(J595:J624,"Clean Fill",H595:H624)+SUMIF(J631:J660,"Clean Fill",H631:H660)+SUMIF(J667:J696,"Clean Fill",H667:H696)+SUMIF(J703:J732,"Clean Fill",H703:H732)+SUMIF(J739:J768,"Clean Fill",H739:H768)+SUMIF(J775:J804,"Clean Fill",H775:H804)+SUMIF(J811:J840,"Clean Fill",H811:H840)+SUMIF(J847:J876,"Clean Fill",H847:H876)+SUMIF(J883:J912,"Clean Fill",H883:H912)+SUMIF(J919:J948,"Clean Fill",H919:H948)+SUMIF(J955:J984,"Clean Fill",H955:H984)+SUMIF(J991:J1020,"Clean Fill",H991:H1020)+SUMIF(J1027:J1056,"Clean Fill",H1027:H1056)+SUMIF(J1063:J1092,"Clean Fill",H1063:H1092),0)</f>
        <v/>
      </c>
      <c r="H1117" s="108">
        <f>IFERROR((SUMIF(J19:J48,"Clean Fill",O19:O48)+SUMIF(J55:J84,"Clean Fill",O55:O84)+SUMIF(J91:J120,"Clean Fill",O91:O120)+SUMIF(J127:J156,"Clean Fill",O127:O156)+SUMIF(J163:J192,"Clean Fill",O163:O192)+SUMIF(J199:J228,"Clean Fill",O199:O228)+SUMIF(J235:J264,"Clean Fill",O235:O264)+SUMIF(J271:J300,"Clean Fill",O271:O300)+SUMIF(J307:J336,"Clean Fill",O307:O336)+SUMIF(J343:J372,"Clean Fill",O343:O372)+SUMIF(J379:J408,"Clean Fill",O379:O408)+SUMIF(J415:J444,"Clean Fill",O415:O444)+SUMIF(J451:J480,"Clean Fill",O451:O480)+SUMIF(J487:J516,"Clean Fill",O487:O516)+SUMIF(J523:J552,"Clean Fill",O523:O552)+SUMIF(J559:J588,"Clean Fill",O559:O588)+SUMIF(J595:J624,"Clean Fill",O595:O624)+SUMIF(J631:J660,"Clean Fill",O631:O660)+SUMIF(J667:J696,"Clean Fill",O667:O696)+SUMIF(J703:J732,"Clean Fill",O703:O732)+SUMIF(J739:J768,"Clean Fill",O739:O768)+SUMIF(J775:J804,"Clean Fill",O775:O804)+SUMIF(J811:J840,"Clean Fill",O811:O840)+SUMIF(J847:J876,"Clean Fill",O847:O876)+SUMIF(J883:J912,"Clean Fill",O883:O912)+SUMIF(J919:J948,"Clean Fill",O919:O948)+SUMIF(J955:J984,"Clean Fill",O955:O984)+SUMIF(J991:J1020,"Clean Fill",O991:O1020)+SUMIF(J1027:J1056,"Clean Fill",O1027:O1056)+SUMIF(J1063:J1092,"Clean Fill",O1063:O1092))/(SUMIF(J19:J48,"Clean Fill",H19:H48)+SUMIF(J55:J84,"Clean Fill",H55:H84)+SUMIF(J91:J120,"Clean Fill",H91:H120)+SUMIF(J127:J156,"Clean Fill",H127:H156)+SUMIF(J163:J192,"Clean Fill",H163:H192)+SUMIF(J199:J228,"Clean Fill",H199:H228)+SUMIF(J235:J264,"Clean Fill",H235:H264)+SUMIF(J271:J300,"Clean Fill",H271:H300)+SUMIF(J307:J336,"Clean Fill",H307:H336)+SUMIF(J343:J372,"Clean Fill",H343:H372)+SUMIF(J379:J408,"Clean Fill",H379:H408)+SUMIF(J415:J444,"Clean Fill",H415:H444)+SUMIF(J451:J480,"Clean Fill",H451:H480)+SUMIF(J487:J516,"Clean Fill",H487:H516)+SUMIF(J523:J552,"Clean Fill",H523:H552)+SUMIF(J559:J588,"Clean Fill",H559:H588)+SUMIF(J595:J624,"Clean Fill",H595:H624)+SUMIF(J631:J660,"Clean Fill",H631:H660)+SUMIF(J667:J696,"Clean Fill",H667:H696)+SUMIF(J703:J732,"Clean Fill",H703:H732)+SUMIF(J739:J768,"Clean Fill",H739:H768)+SUMIF(J775:J804,"Clean Fill",H775:H804)+SUMIF(J811:J840,"Clean Fill",H811:H840)+SUMIF(J847:J876,"Clean Fill",H847:H876)+SUMIF(J883:J912,"Clean Fill",H883:H912)+SUMIF(J919:J948,"Clean Fill",H919:H948)+SUMIF(J955:J984,"Clean Fill",H955:H984)+SUMIF(J991:J1020,"Clean Fill",H991:H1020)+SUMIF(J1027:J1056,"Clean Fill",H1027:H1056)+SUMIF(J1063:J1092,"Clean Fill",H1063:H1092)),0)</f>
        <v/>
      </c>
      <c r="I1117" s="108" t="n">
        <v>6</v>
      </c>
      <c r="J1117" s="108">
        <f>IFERROR(H1117+I1117,0)</f>
        <v/>
      </c>
      <c r="K1117" s="129">
        <f>IFERROR(G1117*J1117,0)</f>
        <v/>
      </c>
      <c r="L1117" s="121">
        <f>IFERROR(F1117-K1117,0)</f>
        <v/>
      </c>
      <c r="M1117" s="91">
        <f>IFERROR(L1117/F1117,0)</f>
        <v/>
      </c>
      <c r="N1117" s="78" t="n"/>
      <c r="O1117" s="78" t="n"/>
    </row>
    <row r="1118" ht="18" customHeight="1">
      <c r="A1118" s="42" t="inlineStr">
        <is>
          <t>Mixed Fill</t>
        </is>
      </c>
      <c r="B1118" s="103">
        <f>IFERROR(SUMIF(A5:A12,A1118,B5:B12),0)</f>
        <v/>
      </c>
      <c r="C1118" s="104">
        <f>IFERROR(SUMIF(A5:A12,A1118,E5:E12),0)</f>
        <v/>
      </c>
      <c r="D1118" s="104" t="n">
        <v>6</v>
      </c>
      <c r="E1118" s="104">
        <f>IFERROR(C1118+D1118,0)</f>
        <v/>
      </c>
      <c r="F1118" s="128">
        <f>IFERROR(B1118*E1118,0)</f>
        <v/>
      </c>
      <c r="G1118" s="107">
        <f>IFERROR(SUMIF(J19:J48,"Mixed Fill",H19:H48)+SUMIF(J55:J84,"Mixed Fill",H55:H84)+SUMIF(J91:J120,"Mixed Fill",H91:H120)+SUMIF(J127:J156,"Mixed Fill",H127:H156)+SUMIF(J163:J192,"Mixed Fill",H163:H192)+SUMIF(J199:J228,"Mixed Fill",H199:H228)+SUMIF(J235:J264,"Mixed Fill",H235:H264)+SUMIF(J271:J300,"Mixed Fill",H271:H300)+SUMIF(J307:J336,"Mixed Fill",H307:H336)+SUMIF(J343:J372,"Mixed Fill",H343:H372)+SUMIF(J379:J408,"Mixed Fill",H379:H408)+SUMIF(J415:J444,"Mixed Fill",H415:H444)+SUMIF(J451:J480,"Mixed Fill",H451:H480)+SUMIF(J487:J516,"Mixed Fill",H487:H516)+SUMIF(J523:J552,"Mixed Fill",H523:H552)+SUMIF(J559:J588,"Mixed Fill",H559:H588)+SUMIF(J595:J624,"Mixed Fill",H595:H624)+SUMIF(J631:J660,"Mixed Fill",H631:H660)+SUMIF(J667:J696,"Mixed Fill",H667:H696)+SUMIF(J703:J732,"Mixed Fill",H703:H732)+SUMIF(J739:J768,"Mixed Fill",H739:H768)+SUMIF(J775:J804,"Mixed Fill",H775:H804)+SUMIF(J811:J840,"Mixed Fill",H811:H840)+SUMIF(J847:J876,"Mixed Fill",H847:H876)+SUMIF(J883:J912,"Mixed Fill",H883:H912)+SUMIF(J919:J948,"Mixed Fill",H919:H948)+SUMIF(J955:J984,"Mixed Fill",H955:H984)+SUMIF(J991:J1020,"Mixed Fill",H991:H1020)+SUMIF(J1027:J1056,"Mixed Fill",H1027:H1056)+SUMIF(J1063:J1092,"Mixed Fill",H1063:H1092),0)</f>
        <v/>
      </c>
      <c r="H1118" s="108">
        <f>IFERROR((SUMIF(J19:J48,"Mixed Fill",O19:O48)+SUMIF(J55:J84,"Mixed Fill",O55:O84)+SUMIF(J91:J120,"Mixed Fill",O91:O120)+SUMIF(J127:J156,"Mixed Fill",O127:O156)+SUMIF(J163:J192,"Mixed Fill",O163:O192)+SUMIF(J199:J228,"Mixed Fill",O199:O228)+SUMIF(J235:J264,"Mixed Fill",O235:O264)+SUMIF(J271:J300,"Mixed Fill",O271:O300)+SUMIF(J307:J336,"Mixed Fill",O307:O336)+SUMIF(J343:J372,"Mixed Fill",O343:O372)+SUMIF(J379:J408,"Mixed Fill",O379:O408)+SUMIF(J415:J444,"Mixed Fill",O415:O444)+SUMIF(J451:J480,"Mixed Fill",O451:O480)+SUMIF(J487:J516,"Mixed Fill",O487:O516)+SUMIF(J523:J552,"Mixed Fill",O523:O552)+SUMIF(J559:J588,"Mixed Fill",O559:O588)+SUMIF(J595:J624,"Mixed Fill",O595:O624)+SUMIF(J631:J660,"Mixed Fill",O631:O660)+SUMIF(J667:J696,"Mixed Fill",O667:O696)+SUMIF(J703:J732,"Mixed Fill",O703:O732)+SUMIF(J739:J768,"Mixed Fill",O739:O768)+SUMIF(J775:J804,"Mixed Fill",O775:O804)+SUMIF(J811:J840,"Mixed Fill",O811:O840)+SUMIF(J847:J876,"Mixed Fill",O847:O876)+SUMIF(J883:J912,"Mixed Fill",O883:O912)+SUMIF(J919:J948,"Mixed Fill",O919:O948)+SUMIF(J955:J984,"Mixed Fill",O955:O984)+SUMIF(J991:J1020,"Mixed Fill",O991:O1020)+SUMIF(J1027:J1056,"Mixed Fill",O1027:O1056)+SUMIF(J1063:J1092,"Mixed Fill",O1063:O1092))/(SUMIF(J19:J48,"Mixed Fill",H19:H48)+SUMIF(J55:J84,"Mixed Fill",H55:H84)+SUMIF(J91:J120,"Mixed Fill",H91:H120)+SUMIF(J127:J156,"Mixed Fill",H127:H156)+SUMIF(J163:J192,"Mixed Fill",H163:H192)+SUMIF(J199:J228,"Mixed Fill",H199:H228)+SUMIF(J235:J264,"Mixed Fill",H235:H264)+SUMIF(J271:J300,"Mixed Fill",H271:H300)+SUMIF(J307:J336,"Mixed Fill",H307:H336)+SUMIF(J343:J372,"Mixed Fill",H343:H372)+SUMIF(J379:J408,"Mixed Fill",H379:H408)+SUMIF(J415:J444,"Mixed Fill",H415:H444)+SUMIF(J451:J480,"Mixed Fill",H451:H480)+SUMIF(J487:J516,"Mixed Fill",H487:H516)+SUMIF(J523:J552,"Mixed Fill",H523:H552)+SUMIF(J559:J588,"Mixed Fill",H559:H588)+SUMIF(J595:J624,"Mixed Fill",H595:H624)+SUMIF(J631:J660,"Mixed Fill",H631:H660)+SUMIF(J667:J696,"Mixed Fill",H667:H696)+SUMIF(J703:J732,"Mixed Fill",H703:H732)+SUMIF(J739:J768,"Mixed Fill",H739:H768)+SUMIF(J775:J804,"Mixed Fill",H775:H804)+SUMIF(J811:J840,"Mixed Fill",H811:H840)+SUMIF(J847:J876,"Mixed Fill",H847:H876)+SUMIF(J883:J912,"Mixed Fill",H883:H912)+SUMIF(J919:J948,"Mixed Fill",H919:H948)+SUMIF(J955:J984,"Mixed Fill",H955:H984)+SUMIF(J991:J1020,"Mixed Fill",H991:H1020)+SUMIF(J1027:J1056,"Mixed Fill",H1027:H1056)+SUMIF(J1063:J1092,"Mixed Fill",H1063:H1092)),0)</f>
        <v/>
      </c>
      <c r="I1118" s="108" t="n">
        <v>6</v>
      </c>
      <c r="J1118" s="108">
        <f>IFERROR(H1118+I1118,0)</f>
        <v/>
      </c>
      <c r="K1118" s="129">
        <f>IFERROR(G1118*J1118,0)</f>
        <v/>
      </c>
      <c r="L1118" s="121">
        <f>IFERROR(F1118-K1118,0)</f>
        <v/>
      </c>
      <c r="M1118" s="91">
        <f>IFERROR(L1118/F1118,0)</f>
        <v/>
      </c>
      <c r="N1118" s="78" t="n"/>
      <c r="O1118" s="78" t="n"/>
    </row>
    <row r="1119" ht="18" customHeight="1">
      <c r="A1119" s="5" t="inlineStr">
        <is>
          <t>Topsoil</t>
        </is>
      </c>
      <c r="B1119" s="103">
        <f>IFERROR(SUMIF(A5:A12,A1119,B5:B12),0)</f>
        <v/>
      </c>
      <c r="C1119" s="104">
        <f>IFERROR(SUMIF(A5:A12,A1119,E5:E12),0)</f>
        <v/>
      </c>
      <c r="D1119" s="104" t="n">
        <v>6</v>
      </c>
      <c r="E1119" s="104">
        <f>IFERROR(C1119+D1119,0)</f>
        <v/>
      </c>
      <c r="F1119" s="128">
        <f>IFERROR(B1119*E1119,0)</f>
        <v/>
      </c>
      <c r="G1119" s="107">
        <f>IFERROR(SUMIF(J19:J48,"Topsoil",H19:H48)+SUMIF(J55:J84,"Topsoil",H55:H84)+SUMIF(J91:J120,"Topsoil",H91:H120)+SUMIF(J127:J156,"Topsoil",H127:H156)+SUMIF(J163:J192,"Topsoil",H163:H192)+SUMIF(J199:J228,"Topsoil",H199:H228)+SUMIF(J235:J264,"Topsoil",H235:H264)+SUMIF(J271:J300,"Topsoil",H271:H300)+SUMIF(J307:J336,"Topsoil",H307:H336)+SUMIF(J343:J372,"Topsoil",H343:H372)+SUMIF(J379:J408,"Topsoil",H379:H408)+SUMIF(J415:J444,"Topsoil",H415:H444)+SUMIF(J451:J480,"Topsoil",H451:H480)+SUMIF(J487:J516,"Topsoil",H487:H516)+SUMIF(J523:J552,"Topsoil",H523:H552)+SUMIF(J559:J588,"Topsoil",H559:H588)+SUMIF(J595:J624,"Topsoil",H595:H624)+SUMIF(J631:J660,"Topsoil",H631:H660)+SUMIF(J667:J696,"Topsoil",H667:H696)+SUMIF(J703:J732,"Topsoil",H703:H732)+SUMIF(J739:J768,"Topsoil",H739:H768)+SUMIF(J775:J804,"Topsoil",H775:H804)+SUMIF(J811:J840,"Topsoil",H811:H840)+SUMIF(J847:J876,"Topsoil",H847:H876)+SUMIF(J883:J912,"Topsoil",H883:H912)+SUMIF(J919:J948,"Topsoil",H919:H948)+SUMIF(J955:J984,"Topsoil",H955:H984)+SUMIF(J991:J1020,"Topsoil",H991:H1020)+SUMIF(J1027:J1056,"Topsoil",H1027:H1056)+SUMIF(J1063:J1092,"Topsoil",H1063:H1092),0)</f>
        <v/>
      </c>
      <c r="H1119" s="108">
        <f>IFERROR((SUMIF(J19:J48,"Topsoil",O19:O48)+SUMIF(J55:J84,"Topsoil",O55:O84)+SUMIF(J91:J120,"Topsoil",O91:O120)+SUMIF(J127:J156,"Topsoil",O127:O156)+SUMIF(J163:J192,"Topsoil",O163:O192)+SUMIF(J199:J228,"Topsoil",O199:O228)+SUMIF(J235:J264,"Topsoil",O235:O264)+SUMIF(J271:J300,"Topsoil",O271:O300)+SUMIF(J307:J336,"Topsoil",O307:O336)+SUMIF(J343:J372,"Topsoil",O343:O372)+SUMIF(J379:J408,"Topsoil",O379:O408)+SUMIF(J415:J444,"Topsoil",O415:O444)+SUMIF(J451:J480,"Topsoil",O451:O480)+SUMIF(J487:J516,"Topsoil",O487:O516)+SUMIF(J523:J552,"Topsoil",O523:O552)+SUMIF(J559:J588,"Topsoil",O559:O588)+SUMIF(J595:J624,"Topsoil",O595:O624)+SUMIF(J631:J660,"Topsoil",O631:O660)+SUMIF(J667:J696,"Topsoil",O667:O696)+SUMIF(J703:J732,"Topsoil",O703:O732)+SUMIF(J739:J768,"Topsoil",O739:O768)+SUMIF(J775:J804,"Topsoil",O775:O804)+SUMIF(J811:J840,"Topsoil",O811:O840)+SUMIF(J847:J876,"Topsoil",O847:O876)+SUMIF(J883:J912,"Topsoil",O883:O912)+SUMIF(J919:J948,"Topsoil",O919:O948)+SUMIF(J955:J984,"Topsoil",O955:O984)+SUMIF(J991:J1020,"Topsoil",O991:O1020)+SUMIF(J1027:J1056,"Topsoil",O1027:O1056)+SUMIF(J1063:J1092,"Topsoil",O1063:O1092))/(SUMIF(J19:J48,"Topsoil",H19:H48)+SUMIF(J55:J84,"Topsoil",H55:H84)+SUMIF(J91:J120,"Topsoil",H91:H120)+SUMIF(J127:J156,"Topsoil",H127:H156)+SUMIF(J163:J192,"Topsoil",H163:H192)+SUMIF(J199:J228,"Topsoil",H199:H228)+SUMIF(J235:J264,"Topsoil",H235:H264)+SUMIF(J271:J300,"Topsoil",H271:H300)+SUMIF(J307:J336,"Topsoil",H307:H336)+SUMIF(J343:J372,"Topsoil",H343:H372)+SUMIF(J379:J408,"Topsoil",H379:H408)+SUMIF(J415:J444,"Topsoil",H415:H444)+SUMIF(J451:J480,"Topsoil",H451:H480)+SUMIF(J487:J516,"Topsoil",H487:H516)+SUMIF(J523:J552,"Topsoil",H523:H552)+SUMIF(J559:J588,"Topsoil",H559:H588)+SUMIF(J595:J624,"Topsoil",H595:H624)+SUMIF(J631:J660,"Topsoil",H631:H660)+SUMIF(J667:J696,"Topsoil",H667:H696)+SUMIF(J703:J732,"Topsoil",H703:H732)+SUMIF(J739:J768,"Topsoil",H739:H768)+SUMIF(J775:J804,"Topsoil",H775:H804)+SUMIF(J811:J840,"Topsoil",H811:H840)+SUMIF(J847:J876,"Topsoil",H847:H876)+SUMIF(J883:J912,"Topsoil",H883:H912)+SUMIF(J919:J948,"Topsoil",H919:H948)+SUMIF(J955:J984,"Topsoil",H955:H984)+SUMIF(J991:J1020,"Topsoil",H991:H1020)+SUMIF(J1027:J1056,"Topsoil",H1027:H1056)+SUMIF(J1063:J1092,"Topsoil",H1063:H1092)),0)</f>
        <v/>
      </c>
      <c r="I1119" s="108" t="n">
        <v>6</v>
      </c>
      <c r="J1119" s="108">
        <f>IFERROR(H1119+I1119,0)</f>
        <v/>
      </c>
      <c r="K1119" s="129">
        <f>IFERROR(G1119*J1119,0)</f>
        <v/>
      </c>
      <c r="L1119" s="121">
        <f>IFERROR(F1119-K1119,0)</f>
        <v/>
      </c>
      <c r="M1119" s="91">
        <f>IFERROR(L1119/F1119,0)</f>
        <v/>
      </c>
      <c r="N1119" s="78" t="n"/>
      <c r="O1119" s="78" t="n"/>
    </row>
    <row r="1120" ht="18" customHeight="1">
      <c r="A1120" s="42" t="inlineStr">
        <is>
          <t>Vegetation</t>
        </is>
      </c>
      <c r="B1120" s="103">
        <f>IFERROR(SUMIF(A5:A12,A1120,B5:B12),0)</f>
        <v/>
      </c>
      <c r="C1120" s="104">
        <f>IFERROR(SUMIF(A5:A12,A1120,E5:E12),0)</f>
        <v/>
      </c>
      <c r="D1120" s="104" t="n">
        <v>6</v>
      </c>
      <c r="E1120" s="104">
        <f>IFERROR(C1120+D1120,0)</f>
        <v/>
      </c>
      <c r="F1120" s="128">
        <f>IFERROR(B1120*E1120,0)</f>
        <v/>
      </c>
      <c r="G1120" s="107">
        <f>IFERROR(SUMIF(J19:J48,"Vegetation",H19:H48)+SUMIF(J55:J84,"Vegetation",H55:H84)+SUMIF(J91:J120,"Vegetation",H91:H120)+SUMIF(J127:J156,"Vegetation",H127:H156)+SUMIF(J163:J192,"Vegetation",H163:H192)+SUMIF(J199:J228,"Vegetation",H199:H228)+SUMIF(J235:J264,"Vegetation",H235:H264)+SUMIF(J271:J300,"Vegetation",H271:H300)+SUMIF(J307:J336,"Vegetation",H307:H336)+SUMIF(J343:J372,"Vegetation",H343:H372)+SUMIF(J379:J408,"Vegetation",H379:H408)+SUMIF(J415:J444,"Vegetation",H415:H444)+SUMIF(J451:J480,"Vegetation",H451:H480)+SUMIF(J487:J516,"Vegetation",H487:H516)+SUMIF(J523:J552,"Vegetation",H523:H552)+SUMIF(J559:J588,"Vegetation",H559:H588)+SUMIF(J595:J624,"Vegetation",H595:H624)+SUMIF(J631:J660,"Vegetation",H631:H660)+SUMIF(J667:J696,"Vegetation",H667:H696)+SUMIF(J703:J732,"Vegetation",H703:H732)+SUMIF(J739:J768,"Vegetation",H739:H768)+SUMIF(J775:J804,"Vegetation",H775:H804)+SUMIF(J811:J840,"Vegetation",H811:H840)+SUMIF(J847:J876,"Vegetation",H847:H876)+SUMIF(J883:J912,"Vegetation",H883:H912)+SUMIF(J919:J948,"Vegetation",H919:H948)+SUMIF(J955:J984,"Vegetation",H955:H984)+SUMIF(J991:J1020,"Vegetation",H991:H1020)+SUMIF(J1027:J1056,"Vegetation",H1027:H1056)+SUMIF(J1063:J1092,"Vegetation",H1063:H1092),0)</f>
        <v/>
      </c>
      <c r="H1120" s="108">
        <f>IFERROR((SUMIF(J19:J48,"Vegetation",O19:O48)+SUMIF(J55:J84,"Vegetation",O55:O84)+SUMIF(J91:J120,"Vegetation",O91:O120)+SUMIF(J127:J156,"Vegetation",O127:O156)+SUMIF(J163:J192,"Vegetation",O163:O192)+SUMIF(J199:J228,"Vegetation",O199:O228)+SUMIF(J235:J264,"Vegetation",O235:O264)+SUMIF(J271:J300,"Vegetation",O271:O300)+SUMIF(J307:J336,"Vegetation",O307:O336)+SUMIF(J343:J372,"Vegetation",O343:O372)+SUMIF(J379:J408,"Vegetation",O379:O408)+SUMIF(J415:J444,"Vegetation",O415:O444)+SUMIF(J451:J480,"Vegetation",O451:O480)+SUMIF(J487:J516,"Vegetation",O487:O516)+SUMIF(J523:J552,"Vegetation",O523:O552)+SUMIF(J559:J588,"Vegetation",O559:O588)+SUMIF(J595:J624,"Vegetation",O595:O624)+SUMIF(J631:J660,"Vegetation",O631:O660)+SUMIF(J667:J696,"Vegetation",O667:O696)+SUMIF(J703:J732,"Vegetation",O703:O732)+SUMIF(J739:J768,"Vegetation",O739:O768)+SUMIF(J775:J804,"Vegetation",O775:O804)+SUMIF(J811:J840,"Vegetation",O811:O840)+SUMIF(J847:J876,"Vegetation",O847:O876)+SUMIF(J883:J912,"Vegetation",O883:O912)+SUMIF(J919:J948,"Vegetation",O919:O948)+SUMIF(J955:J984,"Vegetation",O955:O984)+SUMIF(J991:J1020,"Vegetation",O991:O1020)+SUMIF(J1027:J1056,"Vegetation",O1027:O1056)+SUMIF(J1063:J1092,"Vegetation",O1063:O1092))/(SUMIF(J19:J48,"Vegetation",H19:H48)+SUMIF(J55:J84,"Vegetation",H55:H84)+SUMIF(J91:J120,"Vegetation",H91:H120)+SUMIF(J127:J156,"Vegetation",H127:H156)+SUMIF(J163:J192,"Vegetation",H163:H192)+SUMIF(J199:J228,"Vegetation",H199:H228)+SUMIF(J235:J264,"Vegetation",H235:H264)+SUMIF(J271:J300,"Vegetation",H271:H300)+SUMIF(J307:J336,"Vegetation",H307:H336)+SUMIF(J343:J372,"Vegetation",H343:H372)+SUMIF(J379:J408,"Vegetation",H379:H408)+SUMIF(J415:J444,"Vegetation",H415:H444)+SUMIF(J451:J480,"Vegetation",H451:H480)+SUMIF(J487:J516,"Vegetation",H487:H516)+SUMIF(J523:J552,"Vegetation",H523:H552)+SUMIF(J559:J588,"Vegetation",H559:H588)+SUMIF(J595:J624,"Vegetation",H595:H624)+SUMIF(J631:J660,"Vegetation",H631:H660)+SUMIF(J667:J696,"Vegetation",H667:H696)+SUMIF(J703:J732,"Vegetation",H703:H732)+SUMIF(J739:J768,"Vegetation",H739:H768)+SUMIF(J775:J804,"Vegetation",H775:H804)+SUMIF(J811:J840,"Vegetation",H811:H840)+SUMIF(J847:J876,"Vegetation",H847:H876)+SUMIF(J883:J912,"Vegetation",H883:H912)+SUMIF(J919:J948,"Vegetation",H919:H948)+SUMIF(J955:J984,"Vegetation",H955:H984)+SUMIF(J991:J1020,"Vegetation",H991:H1020)+SUMIF(J1027:J1056,"Vegetation",H1027:H1056)+SUMIF(J1063:J1092,"Vegetation",H1063:H1092)),0)</f>
        <v/>
      </c>
      <c r="I1120" s="108" t="n">
        <v>6</v>
      </c>
      <c r="J1120" s="108">
        <f>IFERROR(H1120+I1120,0)</f>
        <v/>
      </c>
      <c r="K1120" s="129">
        <f>IFERROR(G1120*J1120,0)</f>
        <v/>
      </c>
      <c r="L1120" s="121">
        <f>IFERROR(F1120-K1120,0)</f>
        <v/>
      </c>
      <c r="M1120" s="91">
        <f>IFERROR(L1120/F1120,0)</f>
        <v/>
      </c>
      <c r="N1120" s="78" t="n"/>
      <c r="O1120" s="78" t="n"/>
    </row>
    <row r="1121" ht="18" customHeight="1">
      <c r="A1121" s="5" t="inlineStr">
        <is>
          <t>Clay</t>
        </is>
      </c>
      <c r="B1121" s="103">
        <f>IFERROR(SUMIF(A5:A12,A1121,B5:B12),0)</f>
        <v/>
      </c>
      <c r="C1121" s="104">
        <f>IFERROR(SUMIF(A5:A12,A1121,E5:E12),0)</f>
        <v/>
      </c>
      <c r="D1121" s="104" t="n">
        <v>6</v>
      </c>
      <c r="E1121" s="104">
        <f>IFERROR(C1121+D1121,0)</f>
        <v/>
      </c>
      <c r="F1121" s="128">
        <f>IFERROR(B1121*E1121,0)</f>
        <v/>
      </c>
      <c r="G1121" s="107">
        <f>IFERROR(SUMIF(J19:J48,"Clay",H19:H48)+SUMIF(J55:J84,"Clay",H55:H84)+SUMIF(J91:J120,"Clay",H91:H120)+SUMIF(J127:J156,"Clay",H127:H156)+SUMIF(J163:J192,"Clay",H163:H192)+SUMIF(J199:J228,"Clay",H199:H228)+SUMIF(J235:J264,"Clay",H235:H264)+SUMIF(J271:J300,"Clay",H271:H300)+SUMIF(J307:J336,"Clay",H307:H336)+SUMIF(J343:J372,"Clay",H343:H372)+SUMIF(J379:J408,"Clay",H379:H408)+SUMIF(J415:J444,"Clay",H415:H444)+SUMIF(J451:J480,"Clay",H451:H480)+SUMIF(J487:J516,"Clay",H487:H516)+SUMIF(J523:J552,"Clay",H523:H552)+SUMIF(J559:J588,"Clay",H559:H588)+SUMIF(J595:J624,"Clay",H595:H624)+SUMIF(J631:J660,"Clay",H631:H660)+SUMIF(J667:J696,"Clay",H667:H696)+SUMIF(J703:J732,"Clay",H703:H732)+SUMIF(J739:J768,"Clay",H739:H768)+SUMIF(J775:J804,"Clay",H775:H804)+SUMIF(J811:J840,"Clay",H811:H840)+SUMIF(J847:J876,"Clay",H847:H876)+SUMIF(J883:J912,"Clay",H883:H912)+SUMIF(J919:J948,"Clay",H919:H948)+SUMIF(J955:J984,"Clay",H955:H984)+SUMIF(J991:J1020,"Clay",H991:H1020)+SUMIF(J1027:J1056,"Clay",H1027:H1056)+SUMIF(J1063:J1092,"Clay",H1063:H1092),0)</f>
        <v/>
      </c>
      <c r="H1121" s="108">
        <f>IFERROR((SUMIF(J19:J48,"Clay",O19:O48)+SUMIF(J55:J84,"Clay",O55:O84)+SUMIF(J91:J120,"Clay",O91:O120)+SUMIF(J127:J156,"Clay",O127:O156)+SUMIF(J163:J192,"Clay",O163:O192)+SUMIF(J199:J228,"Clay",O199:O228)+SUMIF(J235:J264,"Clay",O235:O264)+SUMIF(J271:J300,"Clay",O271:O300)+SUMIF(J307:J336,"Clay",O307:O336)+SUMIF(J343:J372,"Clay",O343:O372)+SUMIF(J379:J408,"Clay",O379:O408)+SUMIF(J415:J444,"Clay",O415:O444)+SUMIF(J451:J480,"Clay",O451:O480)+SUMIF(J487:J516,"Clay",O487:O516)+SUMIF(J523:J552,"Clay",O523:O552)+SUMIF(J559:J588,"Clay",O559:O588)+SUMIF(J595:J624,"Clay",O595:O624)+SUMIF(J631:J660,"Clay",O631:O660)+SUMIF(J667:J696,"Clay",O667:O696)+SUMIF(J703:J732,"Clay",O703:O732)+SUMIF(J739:J768,"Clay",O739:O768)+SUMIF(J775:J804,"Clay",O775:O804)+SUMIF(J811:J840,"Clay",O811:O840)+SUMIF(J847:J876,"Clay",O847:O876)+SUMIF(J883:J912,"Clay",O883:O912)+SUMIF(J919:J948,"Clay",O919:O948)+SUMIF(J955:J984,"Clay",O955:O984)+SUMIF(J991:J1020,"Clay",O991:O1020)+SUMIF(J1027:J1056,"Clay",O1027:O1056)+SUMIF(J1063:J1092,"Clay",O1063:O1092))/(SUMIF(J19:J48,"Clay",H19:H48)+SUMIF(J55:J84,"Clay",H55:H84)+SUMIF(J91:J120,"Clay",H91:H120)+SUMIF(J127:J156,"Clay",H127:H156)+SUMIF(J163:J192,"Clay",H163:H192)+SUMIF(J199:J228,"Clay",H199:H228)+SUMIF(J235:J264,"Clay",H235:H264)+SUMIF(J271:J300,"Clay",H271:H300)+SUMIF(J307:J336,"Clay",H307:H336)+SUMIF(J343:J372,"Clay",H343:H372)+SUMIF(J379:J408,"Clay",H379:H408)+SUMIF(J415:J444,"Clay",H415:H444)+SUMIF(J451:J480,"Clay",H451:H480)+SUMIF(J487:J516,"Clay",H487:H516)+SUMIF(J523:J552,"Clay",H523:H552)+SUMIF(J559:J588,"Clay",H559:H588)+SUMIF(J595:J624,"Clay",H595:H624)+SUMIF(J631:J660,"Clay",H631:H660)+SUMIF(J667:J696,"Clay",H667:H696)+SUMIF(J703:J732,"Clay",H703:H732)+SUMIF(J739:J768,"Clay",H739:H768)+SUMIF(J775:J804,"Clay",H775:H804)+SUMIF(J811:J840,"Clay",H811:H840)+SUMIF(J847:J876,"Clay",H847:H876)+SUMIF(J883:J912,"Clay",H883:H912)+SUMIF(J919:J948,"Clay",H919:H948)+SUMIF(J955:J984,"Clay",H955:H984)+SUMIF(J991:J1020,"Clay",H991:H1020)+SUMIF(J1027:J1056,"Clay",H1027:H1056)+SUMIF(J1063:J1092,"Clay",H1063:H1092)),0)</f>
        <v/>
      </c>
      <c r="I1121" s="108" t="n">
        <v>6</v>
      </c>
      <c r="J1121" s="108">
        <f>IFERROR(H1121+I1121,0)</f>
        <v/>
      </c>
      <c r="K1121" s="129">
        <f>IFERROR(G1121*J1121,0)</f>
        <v/>
      </c>
      <c r="L1121" s="121">
        <f>IFERROR(F1121-K1121,0)</f>
        <v/>
      </c>
      <c r="M1121" s="91">
        <f>IFERROR(L1121/F1121,0)</f>
        <v/>
      </c>
      <c r="N1121" s="78" t="n"/>
      <c r="O1121" s="78" t="n"/>
    </row>
    <row r="1122" ht="18" customHeight="1">
      <c r="A1122" s="42" t="inlineStr">
        <is>
          <t>Mudstone</t>
        </is>
      </c>
      <c r="B1122" s="103">
        <f>IFERROR(SUMIF(A5:A12,A1122,B5:B12),0)</f>
        <v/>
      </c>
      <c r="C1122" s="104">
        <f>IFERROR(SUMIF(A5:A12,A1122,E5:E12),0)</f>
        <v/>
      </c>
      <c r="D1122" s="104" t="n">
        <v>6</v>
      </c>
      <c r="E1122" s="104">
        <f>IFERROR(C1122+D1122,0)</f>
        <v/>
      </c>
      <c r="F1122" s="128">
        <f>IFERROR(B1122*E1122,0)</f>
        <v/>
      </c>
      <c r="G1122" s="107">
        <f>IFERROR(SUMIF(J19:J48,"Mudstone",H19:H48)+SUMIF(J55:J84,"Mudstone",H55:H84)+SUMIF(J91:J120,"Mudstone",H91:H120)+SUMIF(J127:J156,"Mudstone",H127:H156)+SUMIF(J163:J192,"Mudstone",H163:H192)+SUMIF(J199:J228,"Mudstone",H199:H228)+SUMIF(J235:J264,"Mudstone",H235:H264)+SUMIF(J271:J300,"Mudstone",H271:H300)+SUMIF(J307:J336,"Mudstone",H307:H336)+SUMIF(J343:J372,"Mudstone",H343:H372)+SUMIF(J379:J408,"Mudstone",H379:H408)+SUMIF(J415:J444,"Mudstone",H415:H444)+SUMIF(J451:J480,"Mudstone",H451:H480)+SUMIF(J487:J516,"Mudstone",H487:H516)+SUMIF(J523:J552,"Mudstone",H523:H552)+SUMIF(J559:J588,"Mudstone",H559:H588)+SUMIF(J595:J624,"Mudstone",H595:H624)+SUMIF(J631:J660,"Mudstone",H631:H660)+SUMIF(J667:J696,"Mudstone",H667:H696)+SUMIF(J703:J732,"Mudstone",H703:H732)+SUMIF(J739:J768,"Mudstone",H739:H768)+SUMIF(J775:J804,"Mudstone",H775:H804)+SUMIF(J811:J840,"Mudstone",H811:H840)+SUMIF(J847:J876,"Mudstone",H847:H876)+SUMIF(J883:J912,"Mudstone",H883:H912)+SUMIF(J919:J948,"Mudstone",H919:H948)+SUMIF(J955:J984,"Mudstone",H955:H984)+SUMIF(J991:J1020,"Mudstone",H991:H1020)+SUMIF(J1027:J1056,"Mudstone",H1027:H1056)+SUMIF(J1063:J1092,"Mudstone",H1063:H1092),0)</f>
        <v/>
      </c>
      <c r="H1122" s="108">
        <f>IFERROR((SUMIF(J19:J48,"Mudstone",O19:O48)+SUMIF(J55:J84,"Mudstone",O55:O84)+SUMIF(J91:J120,"Mudstone",O91:O120)+SUMIF(J127:J156,"Mudstone",O127:O156)+SUMIF(J163:J192,"Mudstone",O163:O192)+SUMIF(J199:J228,"Mudstone",O199:O228)+SUMIF(J235:J264,"Mudstone",O235:O264)+SUMIF(J271:J300,"Mudstone",O271:O300)+SUMIF(J307:J336,"Mudstone",O307:O336)+SUMIF(J343:J372,"Mudstone",O343:O372)+SUMIF(J379:J408,"Mudstone",O379:O408)+SUMIF(J415:J444,"Mudstone",O415:O444)+SUMIF(J451:J480,"Mudstone",O451:O480)+SUMIF(J487:J516,"Mudstone",O487:O516)+SUMIF(J523:J552,"Mudstone",O523:O552)+SUMIF(J559:J588,"Mudstone",O559:O588)+SUMIF(J595:J624,"Mudstone",O595:O624)+SUMIF(J631:J660,"Mudstone",O631:O660)+SUMIF(J667:J696,"Mudstone",O667:O696)+SUMIF(J703:J732,"Mudstone",O703:O732)+SUMIF(J739:J768,"Mudstone",O739:O768)+SUMIF(J775:J804,"Mudstone",O775:O804)+SUMIF(J811:J840,"Mudstone",O811:O840)+SUMIF(J847:J876,"Mudstone",O847:O876)+SUMIF(J883:J912,"Mudstone",O883:O912)+SUMIF(J919:J948,"Mudstone",O919:O948)+SUMIF(J955:J984,"Mudstone",O955:O984)+SUMIF(J991:J1020,"Mudstone",O991:O1020)+SUMIF(J1027:J1056,"Mudstone",O1027:O1056)+SUMIF(J1063:J1092,"Mudstone",O1063:O1092))/(SUMIF(J19:J48,"Mudstone",H19:H48)+SUMIF(J55:J84,"Mudstone",H55:H84)+SUMIF(J91:J120,"Mudstone",H91:H120)+SUMIF(J127:J156,"Mudstone",H127:H156)+SUMIF(J163:J192,"Mudstone",H163:H192)+SUMIF(J199:J228,"Mudstone",H199:H228)+SUMIF(J235:J264,"Mudstone",H235:H264)+SUMIF(J271:J300,"Mudstone",H271:H300)+SUMIF(J307:J336,"Mudstone",H307:H336)+SUMIF(J343:J372,"Mudstone",H343:H372)+SUMIF(J379:J408,"Mudstone",H379:H408)+SUMIF(J415:J444,"Mudstone",H415:H444)+SUMIF(J451:J480,"Mudstone",H451:H480)+SUMIF(J487:J516,"Mudstone",H487:H516)+SUMIF(J523:J552,"Mudstone",H523:H552)+SUMIF(J559:J588,"Mudstone",H559:H588)+SUMIF(J595:J624,"Mudstone",H595:H624)+SUMIF(J631:J660,"Mudstone",H631:H660)+SUMIF(J667:J696,"Mudstone",H667:H696)+SUMIF(J703:J732,"Mudstone",H703:H732)+SUMIF(J739:J768,"Mudstone",H739:H768)+SUMIF(J775:J804,"Mudstone",H775:H804)+SUMIF(J811:J840,"Mudstone",H811:H840)+SUMIF(J847:J876,"Mudstone",H847:H876)+SUMIF(J883:J912,"Mudstone",H883:H912)+SUMIF(J919:J948,"Mudstone",H919:H948)+SUMIF(J955:J984,"Mudstone",H955:H984)+SUMIF(J991:J1020,"Mudstone",H991:H1020)+SUMIF(J1027:J1056,"Mudstone",H1027:H1056)+SUMIF(J1063:J1092,"Mudstone",H1063:H1092)),0)</f>
        <v/>
      </c>
      <c r="I1122" s="108" t="n">
        <v>6</v>
      </c>
      <c r="J1122" s="108">
        <f>IFERROR(H1122+I1122,0)</f>
        <v/>
      </c>
      <c r="K1122" s="129">
        <f>IFERROR(G1122*J1122,0)</f>
        <v/>
      </c>
      <c r="L1122" s="121">
        <f>IFERROR(F1122-K1122,0)</f>
        <v/>
      </c>
      <c r="M1122" s="91">
        <f>IFERROR(L1122/F1122,0)</f>
        <v/>
      </c>
      <c r="N1122" s="78" t="n"/>
      <c r="O1122" s="78" t="n"/>
    </row>
    <row r="1123" ht="18" customHeight="1">
      <c r="A1123" s="5" t="inlineStr">
        <is>
          <t>Rock</t>
        </is>
      </c>
      <c r="B1123" s="103">
        <f>IFERROR(SUMIF(A5:A12,A1123,B5:B12),0)</f>
        <v/>
      </c>
      <c r="C1123" s="104">
        <f>IFERROR(SUMIF(A5:A12,A1123,E5:E12),0)</f>
        <v/>
      </c>
      <c r="D1123" s="104" t="n">
        <v>6</v>
      </c>
      <c r="E1123" s="104">
        <f>IFERROR(C1123+D1123,0)</f>
        <v/>
      </c>
      <c r="F1123" s="128">
        <f>IFERROR(B1123*E1123,0)</f>
        <v/>
      </c>
      <c r="G1123" s="107">
        <f>IFERROR(SUMIF(J19:J48,"Rock",H19:H48)+SUMIF(J55:J84,"Rock",H55:H84)+SUMIF(J91:J120,"Rock",H91:H120)+SUMIF(J127:J156,"Rock",H127:H156)+SUMIF(J163:J192,"Rock",H163:H192)+SUMIF(J199:J228,"Rock",H199:H228)+SUMIF(J235:J264,"Rock",H235:H264)+SUMIF(J271:J300,"Rock",H271:H300)+SUMIF(J307:J336,"Rock",H307:H336)+SUMIF(J343:J372,"Rock",H343:H372)+SUMIF(J379:J408,"Rock",H379:H408)+SUMIF(J415:J444,"Rock",H415:H444)+SUMIF(J451:J480,"Rock",H451:H480)+SUMIF(J487:J516,"Rock",H487:H516)+SUMIF(J523:J552,"Rock",H523:H552)+SUMIF(J559:J588,"Rock",H559:H588)+SUMIF(J595:J624,"Rock",H595:H624)+SUMIF(J631:J660,"Rock",H631:H660)+SUMIF(J667:J696,"Rock",H667:H696)+SUMIF(J703:J732,"Rock",H703:H732)+SUMIF(J739:J768,"Rock",H739:H768)+SUMIF(J775:J804,"Rock",H775:H804)+SUMIF(J811:J840,"Rock",H811:H840)+SUMIF(J847:J876,"Rock",H847:H876)+SUMIF(J883:J912,"Rock",H883:H912)+SUMIF(J919:J948,"Rock",H919:H948)+SUMIF(J955:J984,"Rock",H955:H984)+SUMIF(J991:J1020,"Rock",H991:H1020)+SUMIF(J1027:J1056,"Rock",H1027:H1056)+SUMIF(J1063:J1092,"Rock",H1063:H1092),0)</f>
        <v/>
      </c>
      <c r="H1123" s="108">
        <f>IFERROR((SUMIF(J19:J48,"Rock",O19:O48)+SUMIF(J55:J84,"Rock",O55:O84)+SUMIF(J91:J120,"Rock",O91:O120)+SUMIF(J127:J156,"Rock",O127:O156)+SUMIF(J163:J192,"Rock",O163:O192)+SUMIF(J199:J228,"Rock",O199:O228)+SUMIF(J235:J264,"Rock",O235:O264)+SUMIF(J271:J300,"Rock",O271:O300)+SUMIF(J307:J336,"Rock",O307:O336)+SUMIF(J343:J372,"Rock",O343:O372)+SUMIF(J379:J408,"Rock",O379:O408)+SUMIF(J415:J444,"Rock",O415:O444)+SUMIF(J451:J480,"Rock",O451:O480)+SUMIF(J487:J516,"Rock",O487:O516)+SUMIF(J523:J552,"Rock",O523:O552)+SUMIF(J559:J588,"Rock",O559:O588)+SUMIF(J595:J624,"Rock",O595:O624)+SUMIF(J631:J660,"Rock",O631:O660)+SUMIF(J667:J696,"Rock",O667:O696)+SUMIF(J703:J732,"Rock",O703:O732)+SUMIF(J739:J768,"Rock",O739:O768)+SUMIF(J775:J804,"Rock",O775:O804)+SUMIF(J811:J840,"Rock",O811:O840)+SUMIF(J847:J876,"Rock",O847:O876)+SUMIF(J883:J912,"Rock",O883:O912)+SUMIF(J919:J948,"Rock",O919:O948)+SUMIF(J955:J984,"Rock",O955:O984)+SUMIF(J991:J1020,"Rock",O991:O1020)+SUMIF(J1027:J1056,"Rock",O1027:O1056)+SUMIF(J1063:J1092,"Rock",O1063:O1092))/(SUMIF(J19:J48,"Rock",H19:H48)+SUMIF(J55:J84,"Rock",H55:H84)+SUMIF(J91:J120,"Rock",H91:H120)+SUMIF(J127:J156,"Rock",H127:H156)+SUMIF(J163:J192,"Rock",H163:H192)+SUMIF(J199:J228,"Rock",H199:H228)+SUMIF(J235:J264,"Rock",H235:H264)+SUMIF(J271:J300,"Rock",H271:H300)+SUMIF(J307:J336,"Rock",H307:H336)+SUMIF(J343:J372,"Rock",H343:H372)+SUMIF(J379:J408,"Rock",H379:H408)+SUMIF(J415:J444,"Rock",H415:H444)+SUMIF(J451:J480,"Rock",H451:H480)+SUMIF(J487:J516,"Rock",H487:H516)+SUMIF(J523:J552,"Rock",H523:H552)+SUMIF(J559:J588,"Rock",H559:H588)+SUMIF(J595:J624,"Rock",H595:H624)+SUMIF(J631:J660,"Rock",H631:H660)+SUMIF(J667:J696,"Rock",H667:H696)+SUMIF(J703:J732,"Rock",H703:H732)+SUMIF(J739:J768,"Rock",H739:H768)+SUMIF(J775:J804,"Rock",H775:H804)+SUMIF(J811:J840,"Rock",H811:H840)+SUMIF(J847:J876,"Rock",H847:H876)+SUMIF(J883:J912,"Rock",H883:H912)+SUMIF(J919:J948,"Rock",H919:H948)+SUMIF(J955:J984,"Rock",H955:H984)+SUMIF(J991:J1020,"Rock",H991:H1020)+SUMIF(J1027:J1056,"Rock",H1027:H1056)+SUMIF(J1063:J1092,"Rock",H1063:H1092)),0)</f>
        <v/>
      </c>
      <c r="I1123" s="108" t="n">
        <v>6</v>
      </c>
      <c r="J1123" s="108">
        <f>IFERROR(H1123+I1123,0)</f>
        <v/>
      </c>
      <c r="K1123" s="129">
        <f>IFERROR(G1123*J1123,0)</f>
        <v/>
      </c>
      <c r="L1123" s="121">
        <f>IFERROR(F1123-K1123,0)</f>
        <v/>
      </c>
      <c r="M1123" s="91">
        <f>IFERROR(L1123/F1123,0)</f>
        <v/>
      </c>
      <c r="N1123" s="78" t="n"/>
      <c r="O1123" s="78" t="n"/>
    </row>
    <row r="1124" ht="18" customHeight="1">
      <c r="A1124" s="42" t="inlineStr">
        <is>
          <t>Concrete</t>
        </is>
      </c>
      <c r="B1124" s="103">
        <f>IFERROR(SUMIF(A5:A12,A1124,B5:B12),0)</f>
        <v/>
      </c>
      <c r="C1124" s="104">
        <f>IFERROR(SUMIF(A5:A12,A1124,E5:E12),0)</f>
        <v/>
      </c>
      <c r="D1124" s="104" t="n">
        <v>6</v>
      </c>
      <c r="E1124" s="104">
        <f>IFERROR(C1124+D1124,0)</f>
        <v/>
      </c>
      <c r="F1124" s="128">
        <f>IFERROR(B1124*E1124,0)</f>
        <v/>
      </c>
      <c r="G1124" s="107">
        <f>IFERROR(SUMIF(J19:J48,"Concrete",H19:H48)+SUMIF(J55:J84,"Concrete",H55:H84)+SUMIF(J91:J120,"Concrete",H91:H120)+SUMIF(J127:J156,"Concrete",H127:H156)+SUMIF(J163:J192,"Concrete",H163:H192)+SUMIF(J199:J228,"Concrete",H199:H228)+SUMIF(J235:J264,"Concrete",H235:H264)+SUMIF(J271:J300,"Concrete",H271:H300)+SUMIF(J307:J336,"Concrete",H307:H336)+SUMIF(J343:J372,"Concrete",H343:H372)+SUMIF(J379:J408,"Concrete",H379:H408)+SUMIF(J415:J444,"Concrete",H415:H444)+SUMIF(J451:J480,"Concrete",H451:H480)+SUMIF(J487:J516,"Concrete",H487:H516)+SUMIF(J523:J552,"Concrete",H523:H552)+SUMIF(J559:J588,"Concrete",H559:H588)+SUMIF(J595:J624,"Concrete",H595:H624)+SUMIF(J631:J660,"Concrete",H631:H660)+SUMIF(J667:J696,"Concrete",H667:H696)+SUMIF(J703:J732,"Concrete",H703:H732)+SUMIF(J739:J768,"Concrete",H739:H768)+SUMIF(J775:J804,"Concrete",H775:H804)+SUMIF(J811:J840,"Concrete",H811:H840)+SUMIF(J847:J876,"Concrete",H847:H876)+SUMIF(J883:J912,"Concrete",H883:H912)+SUMIF(J919:J948,"Concrete",H919:H948)+SUMIF(J955:J984,"Concrete",H955:H984)+SUMIF(J991:J1020,"Concrete",H991:H1020)+SUMIF(J1027:J1056,"Concrete",H1027:H1056)+SUMIF(J1063:J1092,"Concrete",H1063:H1092),0)</f>
        <v/>
      </c>
      <c r="H1124" s="108">
        <f>IFERROR((SUMIF(J19:J48,"Concrete",O19:O48)+SUMIF(J55:J84,"Concrete",O55:O84)+SUMIF(J91:J120,"Concrete",O91:O120)+SUMIF(J127:J156,"Concrete",O127:O156)+SUMIF(J163:J192,"Concrete",O163:O192)+SUMIF(J199:J228,"Concrete",O199:O228)+SUMIF(J235:J264,"Concrete",O235:O264)+SUMIF(J271:J300,"Concrete",O271:O300)+SUMIF(J307:J336,"Concrete",O307:O336)+SUMIF(J343:J372,"Concrete",O343:O372)+SUMIF(J379:J408,"Concrete",O379:O408)+SUMIF(J415:J444,"Concrete",O415:O444)+SUMIF(J451:J480,"Concrete",O451:O480)+SUMIF(J487:J516,"Concrete",O487:O516)+SUMIF(J523:J552,"Concrete",O523:O552)+SUMIF(J559:J588,"Concrete",O559:O588)+SUMIF(J595:J624,"Concrete",O595:O624)+SUMIF(J631:J660,"Concrete",O631:O660)+SUMIF(J667:J696,"Concrete",O667:O696)+SUMIF(J703:J732,"Concrete",O703:O732)+SUMIF(J739:J768,"Concrete",O739:O768)+SUMIF(J775:J804,"Concrete",O775:O804)+SUMIF(J811:J840,"Concrete",O811:O840)+SUMIF(J847:J876,"Concrete",O847:O876)+SUMIF(J883:J912,"Concrete",O883:O912)+SUMIF(J919:J948,"Concrete",O919:O948)+SUMIF(J955:J984,"Concrete",O955:O984)+SUMIF(J991:J1020,"Concrete",O991:O1020)+SUMIF(J1027:J1056,"Concrete",O1027:O1056)+SUMIF(J1063:J1092,"Concrete",O1063:O1092))/(SUMIF(J19:J48,"Concrete",H19:H48)+SUMIF(J55:J84,"Concrete",H55:H84)+SUMIF(J91:J120,"Concrete",H91:H120)+SUMIF(J127:J156,"Concrete",H127:H156)+SUMIF(J163:J192,"Concrete",H163:H192)+SUMIF(J199:J228,"Concrete",H199:H228)+SUMIF(J235:J264,"Concrete",H235:H264)+SUMIF(J271:J300,"Concrete",H271:H300)+SUMIF(J307:J336,"Concrete",H307:H336)+SUMIF(J343:J372,"Concrete",H343:H372)+SUMIF(J379:J408,"Concrete",H379:H408)+SUMIF(J415:J444,"Concrete",H415:H444)+SUMIF(J451:J480,"Concrete",H451:H480)+SUMIF(J487:J516,"Concrete",H487:H516)+SUMIF(J523:J552,"Concrete",H523:H552)+SUMIF(J559:J588,"Concrete",H559:H588)+SUMIF(J595:J624,"Concrete",H595:H624)+SUMIF(J631:J660,"Concrete",H631:H660)+SUMIF(J667:J696,"Concrete",H667:H696)+SUMIF(J703:J732,"Concrete",H703:H732)+SUMIF(J739:J768,"Concrete",H739:H768)+SUMIF(J775:J804,"Concrete",H775:H804)+SUMIF(J811:J840,"Concrete",H811:H840)+SUMIF(J847:J876,"Concrete",H847:H876)+SUMIF(J883:J912,"Concrete",H883:H912)+SUMIF(J919:J948,"Concrete",H919:H948)+SUMIF(J955:J984,"Concrete",H955:H984)+SUMIF(J991:J1020,"Concrete",H991:H1020)+SUMIF(J1027:J1056,"Concrete",H1027:H1056)+SUMIF(J1063:J1092,"Concrete",H1063:H1092)),0)</f>
        <v/>
      </c>
      <c r="I1124" s="108" t="n">
        <v>6</v>
      </c>
      <c r="J1124" s="108">
        <f>IFERROR(H1124+I1124,0)</f>
        <v/>
      </c>
      <c r="K1124" s="129">
        <f>IFERROR(G1124*J1124,0)</f>
        <v/>
      </c>
      <c r="L1124" s="121">
        <f>IFERROR(F1124-K1124,0)</f>
        <v/>
      </c>
      <c r="M1124" s="91">
        <f>IFERROR(L1124/F1124,0)</f>
        <v/>
      </c>
      <c r="N1124" s="78" t="n"/>
      <c r="O1124" s="78" t="n"/>
    </row>
    <row r="1125" ht="18" customHeight="1">
      <c r="A1125" s="5" t="inlineStr">
        <is>
          <t>Bricks</t>
        </is>
      </c>
      <c r="B1125" s="103">
        <f>IFERROR(SUMIF(A5:A12,A1125,B5:B12),0)</f>
        <v/>
      </c>
      <c r="C1125" s="104">
        <f>IFERROR(SUMIF(A5:A12,A1125,E5:E12),0)</f>
        <v/>
      </c>
      <c r="D1125" s="104" t="n">
        <v>6</v>
      </c>
      <c r="E1125" s="104">
        <f>IFERROR(C1125+D1125,0)</f>
        <v/>
      </c>
      <c r="F1125" s="128">
        <f>IFERROR(B1125*E1125,0)</f>
        <v/>
      </c>
      <c r="G1125" s="107">
        <f>IFERROR(SUMIF(J19:J48,"Bricks",H19:H48)+SUMIF(J55:J84,"Bricks",H55:H84)+SUMIF(J91:J120,"Bricks",H91:H120)+SUMIF(J127:J156,"Bricks",H127:H156)+SUMIF(J163:J192,"Bricks",H163:H192)+SUMIF(J199:J228,"Bricks",H199:H228)+SUMIF(J235:J264,"Bricks",H235:H264)+SUMIF(J271:J300,"Bricks",H271:H300)+SUMIF(J307:J336,"Bricks",H307:H336)+SUMIF(J343:J372,"Bricks",H343:H372)+SUMIF(J379:J408,"Bricks",H379:H408)+SUMIF(J415:J444,"Bricks",H415:H444)+SUMIF(J451:J480,"Bricks",H451:H480)+SUMIF(J487:J516,"Bricks",H487:H516)+SUMIF(J523:J552,"Bricks",H523:H552)+SUMIF(J559:J588,"Bricks",H559:H588)+SUMIF(J595:J624,"Bricks",H595:H624)+SUMIF(J631:J660,"Bricks",H631:H660)+SUMIF(J667:J696,"Bricks",H667:H696)+SUMIF(J703:J732,"Bricks",H703:H732)+SUMIF(J739:J768,"Bricks",H739:H768)+SUMIF(J775:J804,"Bricks",H775:H804)+SUMIF(J811:J840,"Bricks",H811:H840)+SUMIF(J847:J876,"Bricks",H847:H876)+SUMIF(J883:J912,"Bricks",H883:H912)+SUMIF(J919:J948,"Bricks",H919:H948)+SUMIF(J955:J984,"Bricks",H955:H984)+SUMIF(J991:J1020,"Bricks",H991:H1020)+SUMIF(J1027:J1056,"Bricks",H1027:H1056)+SUMIF(J1063:J1092,"Bricks",H1063:H1092),0)</f>
        <v/>
      </c>
      <c r="H1125" s="108">
        <f>IFERROR((SUMIF(J19:J48,"Bricks",O19:O48)+SUMIF(J55:J84,"Bricks",O55:O84)+SUMIF(J91:J120,"Bricks",O91:O120)+SUMIF(J127:J156,"Bricks",O127:O156)+SUMIF(J163:J192,"Bricks",O163:O192)+SUMIF(J199:J228,"Bricks",O199:O228)+SUMIF(J235:J264,"Bricks",O235:O264)+SUMIF(J271:J300,"Bricks",O271:O300)+SUMIF(J307:J336,"Bricks",O307:O336)+SUMIF(J343:J372,"Bricks",O343:O372)+SUMIF(J379:J408,"Bricks",O379:O408)+SUMIF(J415:J444,"Bricks",O415:O444)+SUMIF(J451:J480,"Bricks",O451:O480)+SUMIF(J487:J516,"Bricks",O487:O516)+SUMIF(J523:J552,"Bricks",O523:O552)+SUMIF(J559:J588,"Bricks",O559:O588)+SUMIF(J595:J624,"Bricks",O595:O624)+SUMIF(J631:J660,"Bricks",O631:O660)+SUMIF(J667:J696,"Bricks",O667:O696)+SUMIF(J703:J732,"Bricks",O703:O732)+SUMIF(J739:J768,"Bricks",O739:O768)+SUMIF(J775:J804,"Bricks",O775:O804)+SUMIF(J811:J840,"Bricks",O811:O840)+SUMIF(J847:J876,"Bricks",O847:O876)+SUMIF(J883:J912,"Bricks",O883:O912)+SUMIF(J919:J948,"Bricks",O919:O948)+SUMIF(J955:J984,"Bricks",O955:O984)+SUMIF(J991:J1020,"Bricks",O991:O1020)+SUMIF(J1027:J1056,"Bricks",O1027:O1056)+SUMIF(J1063:J1092,"Bricks",O1063:O1092))/(SUMIF(J19:J48,"Bricks",H19:H48)+SUMIF(J55:J84,"Bricks",H55:H84)+SUMIF(J91:J120,"Bricks",H91:H120)+SUMIF(J127:J156,"Bricks",H127:H156)+SUMIF(J163:J192,"Bricks",H163:H192)+SUMIF(J199:J228,"Bricks",H199:H228)+SUMIF(J235:J264,"Bricks",H235:H264)+SUMIF(J271:J300,"Bricks",H271:H300)+SUMIF(J307:J336,"Bricks",H307:H336)+SUMIF(J343:J372,"Bricks",H343:H372)+SUMIF(J379:J408,"Bricks",H379:H408)+SUMIF(J415:J444,"Bricks",H415:H444)+SUMIF(J451:J480,"Bricks",H451:H480)+SUMIF(J487:J516,"Bricks",H487:H516)+SUMIF(J523:J552,"Bricks",H523:H552)+SUMIF(J559:J588,"Bricks",H559:H588)+SUMIF(J595:J624,"Bricks",H595:H624)+SUMIF(J631:J660,"Bricks",H631:H660)+SUMIF(J667:J696,"Bricks",H667:H696)+SUMIF(J703:J732,"Bricks",H703:H732)+SUMIF(J739:J768,"Bricks",H739:H768)+SUMIF(J775:J804,"Bricks",H775:H804)+SUMIF(J811:J840,"Bricks",H811:H840)+SUMIF(J847:J876,"Bricks",H847:H876)+SUMIF(J883:J912,"Bricks",H883:H912)+SUMIF(J919:J948,"Bricks",H919:H948)+SUMIF(J955:J984,"Bricks",H955:H984)+SUMIF(J991:J1020,"Bricks",H991:H1020)+SUMIF(J1027:J1056,"Bricks",H1027:H1056)+SUMIF(J1063:J1092,"Bricks",H1063:H1092)),0)</f>
        <v/>
      </c>
      <c r="I1125" s="108" t="n">
        <v>6</v>
      </c>
      <c r="J1125" s="108">
        <f>IFERROR(H1125+I1125,0)</f>
        <v/>
      </c>
      <c r="K1125" s="129">
        <f>IFERROR(G1125*J1125,0)</f>
        <v/>
      </c>
      <c r="L1125" s="121">
        <f>IFERROR(F1125-K1125,0)</f>
        <v/>
      </c>
      <c r="M1125" s="91">
        <f>IFERROR(L1125/F1125,0)</f>
        <v/>
      </c>
      <c r="N1125" s="78" t="n"/>
      <c r="O1125" s="78" t="n"/>
    </row>
    <row r="1126" ht="18" customHeight="1">
      <c r="A1126" s="42" t="inlineStr">
        <is>
          <t>Sand</t>
        </is>
      </c>
      <c r="B1126" s="103">
        <f>IFERROR(SUMIF(A5:A12,A1126,B5:B12),0)</f>
        <v/>
      </c>
      <c r="C1126" s="104">
        <f>IFERROR(SUMIF(A5:A12,A1126,E5:E12),0)</f>
        <v/>
      </c>
      <c r="D1126" s="104" t="n">
        <v>6</v>
      </c>
      <c r="E1126" s="104">
        <f>IFERROR(C1126+D1126,0)</f>
        <v/>
      </c>
      <c r="F1126" s="128">
        <f>IFERROR(B1126*E1126,0)</f>
        <v/>
      </c>
      <c r="G1126" s="107">
        <f>IFERROR(SUMIF(J19:J48,"Sand",H19:H48)+SUMIF(J55:J84,"Sand",H55:H84)+SUMIF(J91:J120,"Sand",H91:H120)+SUMIF(J127:J156,"Sand",H127:H156)+SUMIF(J163:J192,"Sand",H163:H192)+SUMIF(J199:J228,"Sand",H199:H228)+SUMIF(J235:J264,"Sand",H235:H264)+SUMIF(J271:J300,"Sand",H271:H300)+SUMIF(J307:J336,"Sand",H307:H336)+SUMIF(J343:J372,"Sand",H343:H372)+SUMIF(J379:J408,"Sand",H379:H408)+SUMIF(J415:J444,"Sand",H415:H444)+SUMIF(J451:J480,"Sand",H451:H480)+SUMIF(J487:J516,"Sand",H487:H516)+SUMIF(J523:J552,"Sand",H523:H552)+SUMIF(J559:J588,"Sand",H559:H588)+SUMIF(J595:J624,"Sand",H595:H624)+SUMIF(J631:J660,"Sand",H631:H660)+SUMIF(J667:J696,"Sand",H667:H696)+SUMIF(J703:J732,"Sand",H703:H732)+SUMIF(J739:J768,"Sand",H739:H768)+SUMIF(J775:J804,"Sand",H775:H804)+SUMIF(J811:J840,"Sand",H811:H840)+SUMIF(J847:J876,"Sand",H847:H876)+SUMIF(J883:J912,"Sand",H883:H912)+SUMIF(J919:J948,"Sand",H919:H948)+SUMIF(J955:J984,"Sand",H955:H984)+SUMIF(J991:J1020,"Sand",H991:H1020)+SUMIF(J1027:J1056,"Sand",H1027:H1056)+SUMIF(J1063:J1092,"Sand",H1063:H1092),0)</f>
        <v/>
      </c>
      <c r="H1126" s="108">
        <f>IFERROR((SUMIF(J19:J48,"Sand",O19:O48)+SUMIF(J55:J84,"Sand",O55:O84)+SUMIF(J91:J120,"Sand",O91:O120)+SUMIF(J127:J156,"Sand",O127:O156)+SUMIF(J163:J192,"Sand",O163:O192)+SUMIF(J199:J228,"Sand",O199:O228)+SUMIF(J235:J264,"Sand",O235:O264)+SUMIF(J271:J300,"Sand",O271:O300)+SUMIF(J307:J336,"Sand",O307:O336)+SUMIF(J343:J372,"Sand",O343:O372)+SUMIF(J379:J408,"Sand",O379:O408)+SUMIF(J415:J444,"Sand",O415:O444)+SUMIF(J451:J480,"Sand",O451:O480)+SUMIF(J487:J516,"Sand",O487:O516)+SUMIF(J523:J552,"Sand",O523:O552)+SUMIF(J559:J588,"Sand",O559:O588)+SUMIF(J595:J624,"Sand",O595:O624)+SUMIF(J631:J660,"Sand",O631:O660)+SUMIF(J667:J696,"Sand",O667:O696)+SUMIF(J703:J732,"Sand",O703:O732)+SUMIF(J739:J768,"Sand",O739:O768)+SUMIF(J775:J804,"Sand",O775:O804)+SUMIF(J811:J840,"Sand",O811:O840)+SUMIF(J847:J876,"Sand",O847:O876)+SUMIF(J883:J912,"Sand",O883:O912)+SUMIF(J919:J948,"Sand",O919:O948)+SUMIF(J955:J984,"Sand",O955:O984)+SUMIF(J991:J1020,"Sand",O991:O1020)+SUMIF(J1027:J1056,"Sand",O1027:O1056)+SUMIF(J1063:J1092,"Sand",O1063:O1092))/(SUMIF(J19:J48,"Sand",H19:H48)+SUMIF(J55:J84,"Sand",H55:H84)+SUMIF(J91:J120,"Sand",H91:H120)+SUMIF(J127:J156,"Sand",H127:H156)+SUMIF(J163:J192,"Sand",H163:H192)+SUMIF(J199:J228,"Sand",H199:H228)+SUMIF(J235:J264,"Sand",H235:H264)+SUMIF(J271:J300,"Sand",H271:H300)+SUMIF(J307:J336,"Sand",H307:H336)+SUMIF(J343:J372,"Sand",H343:H372)+SUMIF(J379:J408,"Sand",H379:H408)+SUMIF(J415:J444,"Sand",H415:H444)+SUMIF(J451:J480,"Sand",H451:H480)+SUMIF(J487:J516,"Sand",H487:H516)+SUMIF(J523:J552,"Sand",H523:H552)+SUMIF(J559:J588,"Sand",H559:H588)+SUMIF(J595:J624,"Sand",H595:H624)+SUMIF(J631:J660,"Sand",H631:H660)+SUMIF(J667:J696,"Sand",H667:H696)+SUMIF(J703:J732,"Sand",H703:H732)+SUMIF(J739:J768,"Sand",H739:H768)+SUMIF(J775:J804,"Sand",H775:H804)+SUMIF(J811:J840,"Sand",H811:H840)+SUMIF(J847:J876,"Sand",H847:H876)+SUMIF(J883:J912,"Sand",H883:H912)+SUMIF(J919:J948,"Sand",H919:H948)+SUMIF(J955:J984,"Sand",H955:H984)+SUMIF(J991:J1020,"Sand",H991:H1020)+SUMIF(J1027:J1056,"Sand",H1027:H1056)+SUMIF(J1063:J1092,"Sand",H1063:H1092)),0)</f>
        <v/>
      </c>
      <c r="I1126" s="108" t="n">
        <v>6</v>
      </c>
      <c r="J1126" s="108">
        <f>IFERROR(H1126+I1126,0)</f>
        <v/>
      </c>
      <c r="K1126" s="129">
        <f>IFERROR(G1126*J1126,0)</f>
        <v/>
      </c>
      <c r="L1126" s="121">
        <f>IFERROR(F1126-K1126,0)</f>
        <v/>
      </c>
      <c r="M1126" s="91">
        <f>IFERROR(L1126/F1126,0)</f>
        <v/>
      </c>
      <c r="N1126" s="78" t="n"/>
      <c r="O1126" s="78" t="n"/>
    </row>
    <row r="1127" ht="18" customHeight="1">
      <c r="A1127" s="5" t="inlineStr">
        <is>
          <t>Crushed Rock</t>
        </is>
      </c>
      <c r="B1127" s="103">
        <f>IFERROR(SUMIF(A5:A12,A1127,B5:B12),0)</f>
        <v/>
      </c>
      <c r="C1127" s="104">
        <f>IFERROR(SUMIF(A5:A12,A1127,E5:E12),0)</f>
        <v/>
      </c>
      <c r="D1127" s="104" t="n">
        <v>6</v>
      </c>
      <c r="E1127" s="104">
        <f>IFERROR(C1127+D1127,0)</f>
        <v/>
      </c>
      <c r="F1127" s="128">
        <f>IFERROR(B1127*E1127,0)</f>
        <v/>
      </c>
      <c r="G1127" s="107">
        <f>IFERROR(SUMIF(J19:J48,"Crushed Rock",H19:H48)+SUMIF(J55:J84,"Crushed Rock",H55:H84)+SUMIF(J91:J120,"Crushed Rock",H91:H120)+SUMIF(J127:J156,"Crushed Rock",H127:H156)+SUMIF(J163:J192,"Crushed Rock",H163:H192)+SUMIF(J199:J228,"Crushed Rock",H199:H228)+SUMIF(J235:J264,"Crushed Rock",H235:H264)+SUMIF(J271:J300,"Crushed Rock",H271:H300)+SUMIF(J307:J336,"Crushed Rock",H307:H336)+SUMIF(J343:J372,"Crushed Rock",H343:H372)+SUMIF(J379:J408,"Crushed Rock",H379:H408)+SUMIF(J415:J444,"Crushed Rock",H415:H444)+SUMIF(J451:J480,"Crushed Rock",H451:H480)+SUMIF(J487:J516,"Crushed Rock",H487:H516)+SUMIF(J523:J552,"Crushed Rock",H523:H552)+SUMIF(J559:J588,"Crushed Rock",H559:H588)+SUMIF(J595:J624,"Crushed Rock",H595:H624)+SUMIF(J631:J660,"Crushed Rock",H631:H660)+SUMIF(J667:J696,"Crushed Rock",H667:H696)+SUMIF(J703:J732,"Crushed Rock",H703:H732)+SUMIF(J739:J768,"Crushed Rock",H739:H768)+SUMIF(J775:J804,"Crushed Rock",H775:H804)+SUMIF(J811:J840,"Crushed Rock",H811:H840)+SUMIF(J847:J876,"Crushed Rock",H847:H876)+SUMIF(J883:J912,"Crushed Rock",H883:H912)+SUMIF(J919:J948,"Crushed Rock",H919:H948)+SUMIF(J955:J984,"Crushed Rock",H955:H984)+SUMIF(J991:J1020,"Crushed Rock",H991:H1020)+SUMIF(J1027:J1056,"Crushed Rock",H1027:H1056)+SUMIF(J1063:J1092,"Crushed Rock",H1063:H1092),0)</f>
        <v/>
      </c>
      <c r="H1127" s="108">
        <f>IFERROR((SUMIF(J19:J48,"Crushed Rock",O19:O48)+SUMIF(J55:J84,"Crushed Rock",O55:O84)+SUMIF(J91:J120,"Crushed Rock",O91:O120)+SUMIF(J127:J156,"Crushed Rock",O127:O156)+SUMIF(J163:J192,"Crushed Rock",O163:O192)+SUMIF(J199:J228,"Crushed Rock",O199:O228)+SUMIF(J235:J264,"Crushed Rock",O235:O264)+SUMIF(J271:J300,"Crushed Rock",O271:O300)+SUMIF(J307:J336,"Crushed Rock",O307:O336)+SUMIF(J343:J372,"Crushed Rock",O343:O372)+SUMIF(J379:J408,"Crushed Rock",O379:O408)+SUMIF(J415:J444,"Crushed Rock",O415:O444)+SUMIF(J451:J480,"Crushed Rock",O451:O480)+SUMIF(J487:J516,"Crushed Rock",O487:O516)+SUMIF(J523:J552,"Crushed Rock",O523:O552)+SUMIF(J559:J588,"Crushed Rock",O559:O588)+SUMIF(J595:J624,"Crushed Rock",O595:O624)+SUMIF(J631:J660,"Crushed Rock",O631:O660)+SUMIF(J667:J696,"Crushed Rock",O667:O696)+SUMIF(J703:J732,"Crushed Rock",O703:O732)+SUMIF(J739:J768,"Crushed Rock",O739:O768)+SUMIF(J775:J804,"Crushed Rock",O775:O804)+SUMIF(J811:J840,"Crushed Rock",O811:O840)+SUMIF(J847:J876,"Crushed Rock",O847:O876)+SUMIF(J883:J912,"Crushed Rock",O883:O912)+SUMIF(J919:J948,"Crushed Rock",O919:O948)+SUMIF(J955:J984,"Crushed Rock",O955:O984)+SUMIF(J991:J1020,"Crushed Rock",O991:O1020)+SUMIF(J1027:J1056,"Crushed Rock",O1027:O1056)+SUMIF(J1063:J1092,"Crushed Rock",O1063:O1092))/(SUMIF(J19:J48,"Crushed Rock",H19:H48)+SUMIF(J55:J84,"Crushed Rock",H55:H84)+SUMIF(J91:J120,"Crushed Rock",H91:H120)+SUMIF(J127:J156,"Crushed Rock",H127:H156)+SUMIF(J163:J192,"Crushed Rock",H163:H192)+SUMIF(J199:J228,"Crushed Rock",H199:H228)+SUMIF(J235:J264,"Crushed Rock",H235:H264)+SUMIF(J271:J300,"Crushed Rock",H271:H300)+SUMIF(J307:J336,"Crushed Rock",H307:H336)+SUMIF(J343:J372,"Crushed Rock",H343:H372)+SUMIF(J379:J408,"Crushed Rock",H379:H408)+SUMIF(J415:J444,"Crushed Rock",H415:H444)+SUMIF(J451:J480,"Crushed Rock",H451:H480)+SUMIF(J487:J516,"Crushed Rock",H487:H516)+SUMIF(J523:J552,"Crushed Rock",H523:H552)+SUMIF(J559:J588,"Crushed Rock",H559:H588)+SUMIF(J595:J624,"Crushed Rock",H595:H624)+SUMIF(J631:J660,"Crushed Rock",H631:H660)+SUMIF(J667:J696,"Crushed Rock",H667:H696)+SUMIF(J703:J732,"Crushed Rock",H703:H732)+SUMIF(J739:J768,"Crushed Rock",H739:H768)+SUMIF(J775:J804,"Crushed Rock",H775:H804)+SUMIF(J811:J840,"Crushed Rock",H811:H840)+SUMIF(J847:J876,"Crushed Rock",H847:H876)+SUMIF(J883:J912,"Crushed Rock",H883:H912)+SUMIF(J919:J948,"Crushed Rock",H919:H948)+SUMIF(J955:J984,"Crushed Rock",H955:H984)+SUMIF(J991:J1020,"Crushed Rock",H991:H1020)+SUMIF(J1027:J1056,"Crushed Rock",H1027:H1056)+SUMIF(J1063:J1092,"Crushed Rock",H1063:H1092)),0)</f>
        <v/>
      </c>
      <c r="I1127" s="108" t="n">
        <v>6</v>
      </c>
      <c r="J1127" s="108">
        <f>IFERROR(H1127+I1127,0)</f>
        <v/>
      </c>
      <c r="K1127" s="129">
        <f>IFERROR(G1127*J1127,0)</f>
        <v/>
      </c>
      <c r="L1127" s="121">
        <f>IFERROR(F1127-K1127,0)</f>
        <v/>
      </c>
      <c r="M1127" s="91">
        <f>IFERROR(L1127/F1127,0)</f>
        <v/>
      </c>
      <c r="N1127" s="78" t="n"/>
      <c r="O1127" s="78" t="n"/>
    </row>
    <row r="1128" ht="18" customHeight="1">
      <c r="A1128" s="42" t="inlineStr">
        <is>
          <t>Other</t>
        </is>
      </c>
      <c r="B1128" s="103">
        <f>IFERROR(SUMIF(A5:A12,A1128,B5:B12),0)</f>
        <v/>
      </c>
      <c r="C1128" s="104">
        <f>IFERROR(SUMIF(A5:A12,A1128,E5:E12),0)</f>
        <v/>
      </c>
      <c r="D1128" s="104" t="n">
        <v>6</v>
      </c>
      <c r="E1128" s="104">
        <f>IFERROR(C1128+D1128,0)</f>
        <v/>
      </c>
      <c r="F1128" s="128">
        <f>IFERROR(B1128*E1128,0)</f>
        <v/>
      </c>
      <c r="G1128" s="107">
        <f>IFERROR(SUMIF(J19:J48,"Other",H19:H48)+SUMIF(J55:J84,"Other",H55:H84)+SUMIF(J91:J120,"Other",H91:H120)+SUMIF(J127:J156,"Other",H127:H156)+SUMIF(J163:J192,"Other",H163:H192)+SUMIF(J199:J228,"Other",H199:H228)+SUMIF(J235:J264,"Other",H235:H264)+SUMIF(J271:J300,"Other",H271:H300)+SUMIF(J307:J336,"Other",H307:H336)+SUMIF(J343:J372,"Other",H343:H372)+SUMIF(J379:J408,"Other",H379:H408)+SUMIF(J415:J444,"Other",H415:H444)+SUMIF(J451:J480,"Other",H451:H480)+SUMIF(J487:J516,"Other",H487:H516)+SUMIF(J523:J552,"Other",H523:H552)+SUMIF(J559:J588,"Other",H559:H588)+SUMIF(J595:J624,"Other",H595:H624)+SUMIF(J631:J660,"Other",H631:H660)+SUMIF(J667:J696,"Other",H667:H696)+SUMIF(J703:J732,"Other",H703:H732)+SUMIF(J739:J768,"Other",H739:H768)+SUMIF(J775:J804,"Other",H775:H804)+SUMIF(J811:J840,"Other",H811:H840)+SUMIF(J847:J876,"Other",H847:H876)+SUMIF(J883:J912,"Other",H883:H912)+SUMIF(J919:J948,"Other",H919:H948)+SUMIF(J955:J984,"Other",H955:H984)+SUMIF(J991:J1020,"Other",H991:H1020)+SUMIF(J1027:J1056,"Other",H1027:H1056)+SUMIF(J1063:J1092,"Other",H1063:H1092),0)</f>
        <v/>
      </c>
      <c r="H1128" s="108">
        <f>IFERROR((SUMIF(J19:J48,"Other",O19:O48)+SUMIF(J55:J84,"Other",O55:O84)+SUMIF(J91:J120,"Other",O91:O120)+SUMIF(J127:J156,"Other",O127:O156)+SUMIF(J163:J192,"Other",O163:O192)+SUMIF(J199:J228,"Other",O199:O228)+SUMIF(J235:J264,"Other",O235:O264)+SUMIF(J271:J300,"Other",O271:O300)+SUMIF(J307:J336,"Other",O307:O336)+SUMIF(J343:J372,"Other",O343:O372)+SUMIF(J379:J408,"Other",O379:O408)+SUMIF(J415:J444,"Other",O415:O444)+SUMIF(J451:J480,"Other",O451:O480)+SUMIF(J487:J516,"Other",O487:O516)+SUMIF(J523:J552,"Other",O523:O552)+SUMIF(J559:J588,"Other",O559:O588)+SUMIF(J595:J624,"Other",O595:O624)+SUMIF(J631:J660,"Other",O631:O660)+SUMIF(J667:J696,"Other",O667:O696)+SUMIF(J703:J732,"Other",O703:O732)+SUMIF(J739:J768,"Other",O739:O768)+SUMIF(J775:J804,"Other",O775:O804)+SUMIF(J811:J840,"Other",O811:O840)+SUMIF(J847:J876,"Other",O847:O876)+SUMIF(J883:J912,"Other",O883:O912)+SUMIF(J919:J948,"Other",O919:O948)+SUMIF(J955:J984,"Other",O955:O984)+SUMIF(J991:J1020,"Other",O991:O1020)+SUMIF(J1027:J1056,"Other",O1027:O1056)+SUMIF(J1063:J1092,"Other",O1063:O1092))/(SUMIF(J19:J48,"Other",H19:H48)+SUMIF(J55:J84,"Other",H55:H84)+SUMIF(J91:J120,"Other",H91:H120)+SUMIF(J127:J156,"Other",H127:H156)+SUMIF(J163:J192,"Other",H163:H192)+SUMIF(J199:J228,"Other",H199:H228)+SUMIF(J235:J264,"Other",H235:H264)+SUMIF(J271:J300,"Other",H271:H300)+SUMIF(J307:J336,"Other",H307:H336)+SUMIF(J343:J372,"Other",H343:H372)+SUMIF(J379:J408,"Other",H379:H408)+SUMIF(J415:J444,"Other",H415:H444)+SUMIF(J451:J480,"Other",H451:H480)+SUMIF(J487:J516,"Other",H487:H516)+SUMIF(J523:J552,"Other",H523:H552)+SUMIF(J559:J588,"Other",H559:H588)+SUMIF(J595:J624,"Other",H595:H624)+SUMIF(J631:J660,"Other",H631:H660)+SUMIF(J667:J696,"Other",H667:H696)+SUMIF(J703:J732,"Other",H703:H732)+SUMIF(J739:J768,"Other",H739:H768)+SUMIF(J775:J804,"Other",H775:H804)+SUMIF(J811:J840,"Other",H811:H840)+SUMIF(J847:J876,"Other",H847:H876)+SUMIF(J883:J912,"Other",H883:H912)+SUMIF(J919:J948,"Other",H919:H948)+SUMIF(J955:J984,"Other",H955:H984)+SUMIF(J991:J1020,"Other",H991:H1020)+SUMIF(J1027:J1056,"Other",H1027:H1056)+SUMIF(J1063:J1092,"Other",H1063:H1092)),0)</f>
        <v/>
      </c>
      <c r="I1128" s="108" t="n">
        <v>6</v>
      </c>
      <c r="J1128" s="108">
        <f>IFERROR(H1128+I1128,0)</f>
        <v/>
      </c>
      <c r="K1128" s="129">
        <f>IFERROR(G1128*J1128,0)</f>
        <v/>
      </c>
      <c r="L1128" s="121">
        <f>IFERROR(F1128-K1128,0)</f>
        <v/>
      </c>
      <c r="M1128" s="91">
        <f>IFERROR(L1128/F1128,0)</f>
        <v/>
      </c>
      <c r="N1128" s="78" t="n"/>
      <c r="O1128" s="78" t="n"/>
    </row>
    <row r="1129" ht="22" customHeight="1">
      <c r="A1129" s="83" t="inlineStr">
        <is>
          <t>TOTAL</t>
        </is>
      </c>
      <c r="B1129" s="92">
        <f>SUM(B1117:B1128)</f>
        <v/>
      </c>
      <c r="C1129" s="2" t="n"/>
      <c r="D1129" s="2" t="n"/>
      <c r="E1129" s="38">
        <f>IFERROR(F1129/B1129,0)</f>
        <v/>
      </c>
      <c r="F1129" s="115">
        <f>SUM(F1117:F1128)</f>
        <v/>
      </c>
      <c r="G1129" s="92">
        <f>SUM(G1117:G1128)</f>
        <v/>
      </c>
      <c r="H1129" s="2" t="n"/>
      <c r="I1129" s="2" t="n"/>
      <c r="J1129" s="38">
        <f>IFERROR(K1129/G1129,0)</f>
        <v/>
      </c>
      <c r="K1129" s="116">
        <f>SUM(K1117:K1128)</f>
        <v/>
      </c>
      <c r="L1129" s="46">
        <f>SUM(L1117:L1128)</f>
        <v/>
      </c>
      <c r="M1129" s="94">
        <f>IFERROR(L1129/F1129,0)</f>
        <v/>
      </c>
      <c r="N1129" s="78" t="n"/>
      <c r="O1129" s="78" t="n"/>
    </row>
    <row r="1130" ht="17" customHeight="1"/>
    <row r="1131" ht="20" customHeight="1"/>
    <row r="1132" ht="10" customHeight="1"/>
    <row r="1133" ht="20" customHeight="1"/>
    <row r="1134" ht="30" customHeight="1"/>
    <row r="1135" ht="18" customHeight="1"/>
    <row r="1136" ht="18" customHeight="1"/>
    <row r="1137" ht="18" customHeight="1"/>
    <row r="1138" ht="18" customHeight="1"/>
    <row r="1139" ht="10" customHeight="1"/>
    <row r="1140" ht="20" customHeight="1"/>
    <row r="1141" ht="20" customHeight="1"/>
    <row r="1142" ht="18" customHeight="1"/>
    <row r="1143" ht="18" customHeight="1"/>
    <row r="1144" ht="18" customHeight="1"/>
    <row r="1145" ht="18" customHeight="1"/>
  </sheetData>
  <mergeCells count="130">
    <mergeCell ref="A913:N913"/>
    <mergeCell ref="A953:N953"/>
    <mergeCell ref="A843:G843"/>
    <mergeCell ref="A337:N337"/>
    <mergeCell ref="A521:N521"/>
    <mergeCell ref="A1023:G1023"/>
    <mergeCell ref="A231:G231"/>
    <mergeCell ref="A1094:G1094"/>
    <mergeCell ref="A701:N701"/>
    <mergeCell ref="A411:G411"/>
    <mergeCell ref="A771:G771"/>
    <mergeCell ref="A482:G482"/>
    <mergeCell ref="A951:G951"/>
    <mergeCell ref="A230:G230"/>
    <mergeCell ref="A879:G879"/>
    <mergeCell ref="A557:N557"/>
    <mergeCell ref="A89:N89"/>
    <mergeCell ref="A413:N413"/>
    <mergeCell ref="A339:G339"/>
    <mergeCell ref="A87:G87"/>
    <mergeCell ref="A949:N949"/>
    <mergeCell ref="A1098:H1098"/>
    <mergeCell ref="A881:N881"/>
    <mergeCell ref="A1115:M1115"/>
    <mergeCell ref="A807:G807"/>
    <mergeCell ref="A842:G842"/>
    <mergeCell ref="A1140:G1140"/>
    <mergeCell ref="A665:N665"/>
    <mergeCell ref="A302:G302"/>
    <mergeCell ref="A481:N481"/>
    <mergeCell ref="A194:G194"/>
    <mergeCell ref="A229:N229"/>
    <mergeCell ref="A769:N769"/>
    <mergeCell ref="A157:N157"/>
    <mergeCell ref="A49:N49"/>
    <mergeCell ref="A770:G770"/>
    <mergeCell ref="A1:N1"/>
    <mergeCell ref="A518:G518"/>
    <mergeCell ref="A733:N733"/>
    <mergeCell ref="A1057:N1057"/>
    <mergeCell ref="A446:G446"/>
    <mergeCell ref="A625:N625"/>
    <mergeCell ref="A805:N805"/>
    <mergeCell ref="A1131:B1131"/>
    <mergeCell ref="A193:N193"/>
    <mergeCell ref="A915:G915"/>
    <mergeCell ref="A233:N233"/>
    <mergeCell ref="A409:N409"/>
    <mergeCell ref="A773:N773"/>
    <mergeCell ref="A301:N301"/>
    <mergeCell ref="A3:G3"/>
    <mergeCell ref="A161:N161"/>
    <mergeCell ref="A445:N445"/>
    <mergeCell ref="A374:G374"/>
    <mergeCell ref="A1058:G1058"/>
    <mergeCell ref="A303:G303"/>
    <mergeCell ref="A14:G14"/>
    <mergeCell ref="A159:G159"/>
    <mergeCell ref="A483:G483"/>
    <mergeCell ref="A1021:N1021"/>
    <mergeCell ref="A809:N809"/>
    <mergeCell ref="A197:N197"/>
    <mergeCell ref="A697:N697"/>
    <mergeCell ref="A338:G338"/>
    <mergeCell ref="A16:N16"/>
    <mergeCell ref="A485:N485"/>
    <mergeCell ref="A266:G266"/>
    <mergeCell ref="A123:G123"/>
    <mergeCell ref="A1061:N1061"/>
    <mergeCell ref="A449:N449"/>
    <mergeCell ref="A989:N989"/>
    <mergeCell ref="A699:G699"/>
    <mergeCell ref="A410:G410"/>
    <mergeCell ref="A914:G914"/>
    <mergeCell ref="A377:N377"/>
    <mergeCell ref="A985:N985"/>
    <mergeCell ref="A447:G447"/>
    <mergeCell ref="A158:G158"/>
    <mergeCell ref="A877:N877"/>
    <mergeCell ref="A373:N373"/>
    <mergeCell ref="A125:N125"/>
    <mergeCell ref="A50:G50"/>
    <mergeCell ref="A698:G698"/>
    <mergeCell ref="A86:G86"/>
    <mergeCell ref="A265:N265"/>
    <mergeCell ref="A121:N121"/>
    <mergeCell ref="A1095:G1095"/>
    <mergeCell ref="A878:G878"/>
    <mergeCell ref="A734:G734"/>
    <mergeCell ref="A122:G122"/>
    <mergeCell ref="A591:G591"/>
    <mergeCell ref="A662:G662"/>
    <mergeCell ref="A841:N841"/>
    <mergeCell ref="A554:G554"/>
    <mergeCell ref="A589:N589"/>
    <mergeCell ref="A629:N629"/>
    <mergeCell ref="A917:N917"/>
    <mergeCell ref="A517:N517"/>
    <mergeCell ref="A735:G735"/>
    <mergeCell ref="A1097:H1097"/>
    <mergeCell ref="A627:G627"/>
    <mergeCell ref="A590:G590"/>
    <mergeCell ref="A305:N305"/>
    <mergeCell ref="A1059:G1059"/>
    <mergeCell ref="A663:G663"/>
    <mergeCell ref="A737:N737"/>
    <mergeCell ref="A986:G986"/>
    <mergeCell ref="A555:G555"/>
    <mergeCell ref="A51:G51"/>
    <mergeCell ref="A987:G987"/>
    <mergeCell ref="A1093:N1093"/>
    <mergeCell ref="A341:N341"/>
    <mergeCell ref="A806:G806"/>
    <mergeCell ref="A553:N553"/>
    <mergeCell ref="A1133:H1133"/>
    <mergeCell ref="A85:N85"/>
    <mergeCell ref="A269:N269"/>
    <mergeCell ref="A17:N17"/>
    <mergeCell ref="A519:G519"/>
    <mergeCell ref="A375:G375"/>
    <mergeCell ref="A53:N53"/>
    <mergeCell ref="A1022:G1022"/>
    <mergeCell ref="A626:G626"/>
    <mergeCell ref="A267:G267"/>
    <mergeCell ref="A661:N661"/>
    <mergeCell ref="A845:N845"/>
    <mergeCell ref="A195:G195"/>
    <mergeCell ref="A950:G950"/>
    <mergeCell ref="A1025:N1025"/>
    <mergeCell ref="A593:N593"/>
  </mergeCells>
  <dataValidations count="7">
    <dataValidation sqref="D19 D20 D21 D22 D23 D24 D25 D26 D27 D28 D29 D30 D31 D32 D33 D34 D35 D36 D37 D38 D39 D40 D41 D42 D43 D44 D45 D46 D47 D48 D55 D56 D57 D58 D59 D60 D61 D62 D63 D64 D65 D66 D67 D68 D69 D70 D71 D72 D73 D74 D75 D76 D77 D78 D79 D80 D81 D82 D83 D84 D91 D92 D93 D94 D95 D96 D97 D98 D99 D100 D101 D102 D103 D104 D105 D106 D107 D108 D109 D110 D111 D112 D113 D114 D115 D116 D117 D118 D119 D120 D127 D128 D129 D130 D131 D132 D133 D134 D135 D136 D137 D138 D139 D140 D141 D142 D143 D144 D145 D146 D147 D148 D149 D150 D151 D152 D153 D154 D155 D156 D163 D164 D165 D166 D167 D168 D169 D170 D171 D172 D173 D174 D175 D176 D177 D178 D179 D180 D181 D182 D183 D184 D185 D186 D187 D188 D189 D190 D191 D192 D199 D200 D201 D202 D203 D204 D205 D206 D207 D208 D209 D210 D211 D212 D213 D214 D215 D216 D217 D218 D219 D220 D221 D222 D223 D224 D225 D226 D227 D228 D235 D236 D237 D238 D239 D240 D241 D242 D243 D244 D245 D246 D247 D248 D249 D250 D251 D252 D253 D254 D255 D256 D257 D258 D259 D260 D261 D262 D263 D264 D271 D272 D273 D274 D275 D276 D277 D278 D279 D280 D281 D282 D283 D284 D285 D286 D287 D288 D289 D290 D291 D292 D293 D294 D295 D296 D297 D298 D299 D300 D307 D308 D309 D310 D311 D312 D313 D314 D315 D316 D317 D318 D319 D320 D321 D322 D323 D324 D325 D326 D327 D328 D329 D330 D331 D332 D333 D334 D335 D336 D343 D344 D345 D346 D347 D348 D349 D350 D351 D352 D353 D354 D355 D356 D357 D358 D359 D360 D361 D362 D363 D364 D365 D366 D367 D368 D369 D370 D371 D372 D379 D380 D381 D382 D383 D384 D385 D386 D387 D388 D389 D390 D391 D392 D393 D394 D395 D396 D397 D398 D399 D400 D401 D402 D403 D404 D405 D406 D407 D408 D415 D416 D417 D418 D419 D420 D421 D422 D423 D424 D425 D426 D427 D428 D429 D430 D431 D432 D433 D434 D435 D436 D437 D438 D439 D440 D441 D442 D443 D444 D451 D452 D453 D454 D455 D456 D457 D458 D459 D460 D461 D462 D463 D464 D465 D466 D467 D468 D469 D470 D471 D472 D473 D474 D475 D476 D477 D478 D479 D480 D487 D488 D489 D490 D491 D492 D493 D494 D495 D496 D497 D498 D499 D500 D501 D502 D503 D504 D505 D506 D507 D508 D509 D510 D511 D512 D513 D514 D515 D516 D523 D524 D525 D526 D527 D528 D529 D530 D531 D532 D533 D534 D535 D536 D537 D538 D539 D540 D541 D542 D543 D544 D545 D546 D547 D548 D549 D550 D551 D552 D559 D560 D561 D562 D563 D564 D565 D566 D567 D568 D569 D570 D571 D572 D573 D574 D575 D576 D577 D578 D579 D580 D581 D582 D583 D584 D585 D586 D587 D588 D595 D596 D597 D598 D599 D600 D601 D602 D603 D604 D605 D606 D607 D608 D609 D610 D611 D612 D613 D614 D615 D616 D617 D618 D619 D620 D621 D622 D623 D624 D631 D632 D633 D634 D635 D636 D637 D638 D639 D640 D641 D642 D643 D644 D645 D646 D647 D648 D649 D650 D651 D652 D653 D654 D655 D656 D657 D658 D659 D660 D667 D668 D669 D670 D671 D672 D673 D674 D675 D676 D677 D678 D679 D680 D681 D682 D683 D684 D685 D686 D687 D688 D689 D690 D691 D692 D693 D694 D695 D696 D703 D704 D705 D706 D707 D708 D709 D710 D711 D712 D713 D714 D715 D716 D717 D718 D719 D720 D721 D722 D723 D724 D725 D726 D727 D728 D729 D730 D731 D732 D739 D740 D741 D742 D743 D744 D745 D746 D747 D748 D749 D750 D751 D752 D753 D754 D755 D756 D757 D758 D759 D760 D761 D762 D763 D764 D765 D766 D767 D768 D775 D776 D777 D778 D779 D780 D781 D782 D783 D784 D785 D786 D787 D788 D789 D790 D791 D792 D793 D794 D795 D796 D797 D798 D799 D800 D801 D802 D803 D804 D811 D812 D813 D814 D815 D816 D817 D818 D819 D820 D821 D822 D823 D824 D825 D826 D827 D828 D829 D830 D831 D832 D833 D834 D835 D836 D837 D838 D839 D840 D847 D848 D849 D850 D851 D852 D853 D854 D855 D856 D857 D858 D859 D860 D861 D862 D863 D864 D865 D866 D867 D868 D869 D870 D871 D872 D873 D874 D875 D876 D883 D884 D885 D886 D887 D888 D889 D890 D891 D892 D893 D894 D895 D896 D897 D898 D899 D900 D901 D902 D903 D904 D905 D906 D907 D908 D909 D910 D911 D912 D919 D920 D921 D922 D923 D924 D925 D926 D927 D928 D929 D930 D931 D932 D933 D934 D935 D936 D937 D938 D939 D940 D941 D942 D943 D944 D945 D946 D947 D948 D955 D956 D957 D958 D959 D960 D961 D962 D963 D964 D965 D966 D967 D968 D969 D970 D971 D972 D973 D974 D975 D976 D977 D978 D979 D980 D981 D982 D983 D984 D991 D992 D993 D994 D995 D996 D997 D998 D999 D1000 D1001 D1002 D1003 D1004 D1005 D1006 D1007 D1008 D1009 D1010 D1011 D1012 D1013 D1014 D1015 D1016 D1017 D1018 D1019 D1020 D1027 D1028 D1029 D1030 D1031 D1032 D1033 D1034 D1035 D1036 D1037 D1038 D1039 D1040 D1041 D1042 D1043 D1044 D1045 D1046 D1047 D1048 D1049 D1050 D1051 D1052 D1053 D1054 D1055 D1056 D1063 D1064 D1065 D1066 D1067 D1068 D1069 D1070 D1071 D1072 D1073 D1074 D1075 D1076 D1077 D1078 D1079 D1080 D1081 D1082 D1083 D1084 D1085 D1086 D1087 D1088 D1089 D1090 D1091 D1092" showDropDown="0" showInputMessage="0" showErrorMessage="0" allowBlank="1" type="list">
      <formula1>"Tandem,TT,Quad"</formula1>
    </dataValidation>
    <dataValidation sqref="E19 E20 E21 E22 E23 E24 E25 E26 E27 E28 E29 E30 E31 E32 E33 E34 E35 E36 E37 E38 E39 E40 E41 E42 E43 E44 E45 E46 E47 E48 E55 E56 E57 E58 E59 E60 E61 E62 E63 E64 E65 E66 E67 E68 E69 E70 E71 E72 E73 E74 E75 E76 E77 E78 E79 E80 E81 E82 E83 E84 E91 E92 E93 E94 E95 E96 E97 E98 E99 E100 E101 E102 E103 E104 E105 E106 E107 E108 E109 E110 E111 E112 E113 E114 E115 E116 E117 E118 E119 E120 E127 E128 E129 E130 E131 E132 E133 E134 E135 E136 E137 E138 E139 E140 E141 E142 E143 E144 E145 E146 E147 E148 E149 E150 E151 E152 E153 E154 E155 E156 E163 E164 E165 E166 E167 E168 E169 E170 E171 E172 E173 E174 E175 E176 E177 E178 E179 E180 E181 E182 E183 E184 E185 E186 E187 E188 E189 E190 E191 E192 E199 E200 E201 E202 E203 E204 E205 E206 E207 E208 E209 E210 E211 E212 E213 E214 E215 E216 E217 E218 E219 E220 E221 E222 E223 E224 E225 E226 E227 E228 E235 E236 E237 E238 E239 E240 E241 E242 E243 E244 E245 E246 E247 E248 E249 E250 E251 E252 E253 E254 E255 E256 E257 E258 E259 E260 E261 E262 E263 E264 E271 E272 E273 E274 E275 E276 E277 E278 E279 E280 E281 E282 E283 E284 E285 E286 E287 E288 E289 E290 E291 E292 E293 E294 E295 E296 E297 E298 E299 E300 E307 E308 E309 E310 E311 E312 E313 E314 E315 E316 E317 E318 E319 E320 E321 E322 E323 E324 E325 E326 E327 E328 E329 E330 E331 E332 E333 E334 E335 E336 E343 E344 E345 E346 E347 E348 E349 E350 E351 E352 E353 E354 E355 E356 E357 E358 E359 E360 E361 E362 E363 E364 E365 E366 E367 E368 E369 E370 E371 E372 E379 E380 E381 E382 E383 E384 E385 E386 E387 E388 E389 E390 E391 E392 E393 E394 E395 E396 E397 E398 E399 E400 E401 E402 E403 E404 E405 E406 E407 E408 E415 E416 E417 E418 E419 E420 E421 E422 E423 E424 E425 E426 E427 E428 E429 E430 E431 E432 E433 E434 E435 E436 E437 E438 E439 E440 E441 E442 E443 E444 E451 E452 E453 E454 E455 E456 E457 E458 E459 E460 E461 E462 E463 E464 E465 E466 E467 E468 E469 E470 E471 E472 E473 E474 E475 E476 E477 E478 E479 E480 E487 E488 E489 E490 E491 E492 E493 E494 E495 E496 E497 E498 E499 E500 E501 E502 E503 E504 E505 E506 E507 E508 E509 E510 E511 E512 E513 E514 E515 E516 E523 E524 E525 E526 E527 E528 E529 E530 E531 E532 E533 E534 E535 E536 E537 E538 E539 E540 E541 E542 E543 E544 E545 E546 E547 E548 E549 E550 E551 E552 E559 E560 E561 E562 E563 E564 E565 E566 E567 E568 E569 E570 E571 E572 E573 E574 E575 E576 E577 E578 E579 E580 E581 E582 E583 E584 E585 E586 E587 E588 E595 E596 E597 E598 E599 E600 E601 E602 E603 E604 E605 E606 E607 E608 E609 E610 E611 E612 E613 E614 E615 E616 E617 E618 E619 E620 E621 E622 E623 E624 E631 E632 E633 E634 E635 E636 E637 E638 E639 E640 E641 E642 E643 E644 E645 E646 E647 E648 E649 E650 E651 E652 E653 E654 E655 E656 E657 E658 E659 E660 E667 E668 E669 E670 E671 E672 E673 E674 E675 E676 E677 E678 E679 E680 E681 E682 E683 E684 E685 E686 E687 E688 E689 E690 E691 E692 E693 E694 E695 E696 E703 E704 E705 E706 E707 E708 E709 E710 E711 E712 E713 E714 E715 E716 E717 E718 E719 E720 E721 E722 E723 E724 E725 E726 E727 E728 E729 E730 E731 E732 E739 E740 E741 E742 E743 E744 E745 E746 E747 E748 E749 E750 E751 E752 E753 E754 E755 E756 E757 E758 E759 E760 E761 E762 E763 E764 E765 E766 E767 E768 E775 E776 E777 E778 E779 E780 E781 E782 E783 E784 E785 E786 E787 E788 E789 E790 E791 E792 E793 E794 E795 E796 E797 E798 E799 E800 E801 E802 E803 E804 E811 E812 E813 E814 E815 E816 E817 E818 E819 E820 E821 E822 E823 E824 E825 E826 E827 E828 E829 E830 E831 E832 E833 E834 E835 E836 E837 E838 E839 E840 E847 E848 E849 E850 E851 E852 E853 E854 E855 E856 E857 E858 E859 E860 E861 E862 E863 E864 E865 E866 E867 E868 E869 E870 E871 E872 E873 E874 E875 E876 E883 E884 E885 E886 E887 E888 E889 E890 E891 E892 E893 E894 E895 E896 E897 E898 E899 E900 E901 E902 E903 E904 E905 E906 E907 E908 E909 E910 E911 E912 E919 E920 E921 E922 E923 E924 E925 E926 E927 E928 E929 E930 E931 E932 E933 E934 E935 E936 E937 E938 E939 E940 E941 E942 E943 E944 E945 E946 E947 E948 E955 E956 E957 E958 E959 E960 E961 E962 E963 E964 E965 E966 E967 E968 E969 E970 E971 E972 E973 E974 E975 E976 E977 E978 E979 E980 E981 E982 E983 E984 E991 E992 E993 E994 E995 E996 E997 E998 E999 E1000 E1001 E1002 E1003 E1004 E1005 E1006 E1007 E1008 E1009 E1010 E1011 E1012 E1013 E1014 E1015 E1016 E1017 E1018 E1019 E1020 E1027 E1028 E1029 E1030 E1031 E1032 E1033 E1034 E1035 E1036 E1037 E1038 E1039 E1040 E1041 E1042 E1043 E1044 E1045 E1046 E1047 E1048 E1049 E1050 E1051 E1052 E1053 E1054 E1055 E1056 E1063 E1064 E1065 E1066 E1067 E1068 E1069 E1070 E1071 E1072 E1073 E1074 E1075 E1076 E1077 E1078 E1079 E1080 E1081 E1082 E1083 E1084 E1085 E1086 E1087 E1088 E1089 E1090 E1091 E1092" showDropDown="0" showInputMessage="0" showErrorMessage="0" allowBlank="1" type="list">
      <formula1>"Export,Import"</formula1>
    </dataValidation>
    <dataValidation sqref="J19 J20 J21 J22 J23 J24 J25 J26 J27 J28 J29 J30 J31 J32 J33 J34 J35 J36 J37 J38 J39 J40 J41 J42 J43 J44 J45 J46 J47 J48 J55 J56 J57 J58 J59 J60 J61 J62 J63 J64 J65 J66 J67 J68 J69 J70 J71 J72 J73 J74 J75 J76 J77 J78 J79 J80 J81 J82 J83 J84 J91 J92 J93 J94 J95 J96 J97 J98 J99 J100 J101 J102 J103 J104 J105 J106 J107 J108 J109 J110 J111 J112 J113 J114 J115 J116 J117 J118 J119 J120 J127 J128 J129 J130 J131 J132 J133 J134 J135 J136 J137 J138 J139 J140 J141 J142 J143 J144 J145 J146 J147 J148 J149 J150 J151 J152 J153 J154 J155 J156 J163 J164 J165 J166 J167 J168 J169 J170 J171 J172 J173 J174 J175 J176 J177 J178 J179 J180 J181 J182 J183 J184 J185 J186 J187 J188 J189 J190 J191 J192 J199 J200 J201 J202 J203 J204 J205 J206 J207 J208 J209 J210 J211 J212 J213 J214 J215 J216 J217 J218 J219 J220 J221 J222 J223 J224 J225 J226 J227 J228 J235 J236 J237 J238 J239 J240 J241 J242 J243 J244 J245 J246 J247 J248 J249 J250 J251 J252 J253 J254 J255 J256 J257 J258 J259 J260 J261 J262 J263 J264 J271 J272 J273 J274 J275 J276 J277 J278 J279 J280 J281 J282 J283 J284 J285 J286 J287 J288 J289 J290 J291 J292 J293 J294 J295 J296 J297 J298 J299 J300 J307 J308 J309 J310 J311 J312 J313 J314 J315 J316 J317 J318 J319 J320 J321 J322 J323 J324 J325 J326 J327 J328 J329 J330 J331 J332 J333 J334 J335 J336 J343 J344 J345 J346 J347 J348 J349 J350 J351 J352 J353 J354 J355 J356 J357 J358 J359 J360 J361 J362 J363 J364 J365 J366 J367 J368 J369 J370 J371 J372 J379 J380 J381 J382 J383 J384 J385 J386 J387 J388 J389 J390 J391 J392 J393 J394 J395 J396 J397 J398 J399 J400 J401 J402 J403 J404 J405 J406 J407 J408 J415 J416 J417 J418 J419 J420 J421 J422 J423 J424 J425 J426 J427 J428 J429 J430 J431 J432 J433 J434 J435 J436 J437 J438 J439 J440 J441 J442 J443 J444 J451 J452 J453 J454 J455 J456 J457 J458 J459 J460 J461 J462 J463 J464 J465 J466 J467 J468 J469 J470 J471 J472 J473 J474 J475 J476 J477 J478 J479 J480 J487 J488 J489 J490 J491 J492 J493 J494 J495 J496 J497 J498 J499 J500 J501 J502 J503 J504 J505 J506 J507 J508 J509 J510 J511 J512 J513 J514 J515 J516 J523 J524 J525 J526 J527 J528 J529 J530 J531 J532 J533 J534 J535 J536 J537 J538 J539 J540 J541 J542 J543 J544 J545 J546 J547 J548 J549 J550 J551 J552 J559 J560 J561 J562 J563 J564 J565 J566 J567 J568 J569 J570 J571 J572 J573 J574 J575 J576 J577 J578 J579 J580 J581 J582 J583 J584 J585 J586 J587 J588 J595 J596 J597 J598 J599 J600 J601 J602 J603 J604 J605 J606 J607 J608 J609 J610 J611 J612 J613 J614 J615 J616 J617 J618 J619 J620 J621 J622 J623 J624 J631 J632 J633 J634 J635 J636 J637 J638 J639 J640 J641 J642 J643 J644 J645 J646 J647 J648 J649 J650 J651 J652 J653 J654 J655 J656 J657 J658 J659 J660 J667 J668 J669 J670 J671 J672 J673 J674 J675 J676 J677 J678 J679 J680 J681 J682 J683 J684 J685 J686 J687 J688 J689 J690 J691 J692 J693 J694 J695 J696 J703 J704 J705 J706 J707 J708 J709 J710 J711 J712 J713 J714 J715 J716 J717 J718 J719 J720 J721 J722 J723 J724 J725 J726 J727 J728 J729 J730 J731 J732 J739 J740 J741 J742 J743 J744 J745 J746 J747 J748 J749 J750 J751 J752 J753 J754 J755 J756 J757 J758 J759 J760 J761 J762 J763 J764 J765 J766 J767 J768 J775 J776 J777 J778 J779 J780 J781 J782 J783 J784 J785 J786 J787 J788 J789 J790 J791 J792 J793 J794 J795 J796 J797 J798 J799 J800 J801 J802 J803 J804 J811 J812 J813 J814 J815 J816 J817 J818 J819 J820 J821 J822 J823 J824 J825 J826 J827 J828 J829 J830 J831 J832 J833 J834 J835 J836 J837 J838 J839 J840 J847 J848 J849 J850 J851 J852 J853 J854 J855 J856 J857 J858 J859 J860 J861 J862 J863 J864 J865 J866 J867 J868 J869 J870 J871 J872 J873 J874 J875 J876 J883 J884 J885 J886 J887 J888 J889 J890 J891 J892 J893 J894 J895 J896 J897 J898 J899 J900 J901 J902 J903 J904 J905 J906 J907 J908 J909 J910 J911 J912 J919 J920 J921 J922 J923 J924 J925 J926 J927 J928 J929 J930 J931 J932 J933 J934 J935 J936 J937 J938 J939 J940 J941 J942 J943 J944 J945 J946 J947 J948 J955 J956 J957 J958 J959 J960 J961 J962 J963 J964 J965 J966 J967 J968 J969 J970 J971 J972 J973 J974 J975 J976 J977 J978 J979 J980 J981 J982 J983 J984 J991 J992 J993 J994 J995 J996 J997 J998 J999 J1000 J1001 J1002 J1003 J1004 J1005 J1006 J1007 J1008 J1009 J1010 J1011 J1012 J1013 J1014 J1015 J1016 J1017 J1018 J1019 J1020 J1027 J1028 J1029 J1030 J1031 J1032 J1033 J1034 J1035 J1036 J1037 J1038 J1039 J1040 J1041 J1042 J1043 J1044 J1045 J1046 J1047 J1048 J1049 J1050 J1051 J1052 J1053 J1054 J1055 J1056 J1063 J1064 J1065 J1066 J1067 J1068 J1069 J1070 J1071 J1072 J1073 J1074 J1075 J1076 J1077 J1078 J1079 J1080 J1081 J1082 J1083 J1084 J1085 J1086 J1087 J1088 J1089 J1090 J1091 J1092" showDropDown="0" showInputMessage="0" showErrorMessage="0" allowBlank="1" type="list">
      <formula1>"Clean Fill,Mixed Fill,Topsoil,Vegetation,Clay,Mudstone,Rock,Concrete,Bricks,Sand,Crushed Rock,Other"</formula1>
    </dataValidation>
    <dataValidation sqref="C4 C5 C6 C7 C8 C9 C10 C11 C12 C13 C14 C15" showDropDown="0" showInputMessage="0" showErrorMessage="0" allowBlank="0" type="list">
      <formula1>"Export,Import"</formula1>
    </dataValidation>
    <dataValidation sqref="A5 A6 A7 A8 A9 A10 A11 A12" showDropDown="0" showInputMessage="0" showErrorMessage="0" allowBlank="1" type="list">
      <formula1>"Clean Fill,Mixed Fill,Topsoil,Vegetation,Clay,Mudstone,Rock,Concrete,Bricks,Sand,Crushed Rock,Other"</formula1>
    </dataValidation>
    <dataValidation sqref="A1099 A1100 A1101 A1102 A1103 A1104 A1105 A1106" showDropDown="0" showInputMessage="0" showErrorMessage="0" allowBlank="1" type="list">
      <formula1>"Clean Fill,Mixed Fill,Topsoil,Vegetation,Clay,Mudstone,Rock,Concrete,Bricks,Sand,Crushed Rock,Other"</formula1>
    </dataValidation>
    <dataValidation sqref="A1111 A1112 A1113 A1114 A1115 A1116 A1117 A1118" showDropDown="0" showInputMessage="0" showErrorMessage="0" allowBlank="1" type="list">
      <formula1>"Clean Fill,Mixed Fill,Topsoil,Vegetation,Clay,Mudstone,Rock,Concrete,Bricks,Sand,Crushed Rock,Other"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2026-04-17T02:17:39Z</dcterms:created>
  <dcterms:modified xmlns:dcterms="http://purl.org/dc/terms/" xmlns:xsi="http://www.w3.org/2001/XMLSchema-instance" xsi:type="dcterms:W3CDTF">2026-04-20T21:06:41Z</dcterms:modified>
</cp:coreProperties>
</file>